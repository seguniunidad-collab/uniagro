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M1 — Ganadero" sheetId="2" state="visible" r:id="rId4"/>
    <sheet name="M2 — Finca" sheetId="3" state="visible" r:id="rId5"/>
    <sheet name="M3 — Hato" sheetId="4" state="visible" r:id="rId6"/>
    <sheet name="M4 — Condiciones" sheetId="5" state="visible" r:id="rId7"/>
    <sheet name="M5 — Instalaciones" sheetId="6" state="visible" r:id="rId8"/>
    <sheet name="M6 — Siniestros" sheetId="7" state="visible" r:id="rId9"/>
    <sheet name="M7 — Profilaxis" sheetId="8" state="visible" r:id="rId10"/>
    <sheet name="M8 — Panel KP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<sst xmlns="http://schemas.openxmlformats.org/spreadsheetml/2006/main" count="304" uniqueCount="261">
  <si>
    <t xml:space="preserve">UNIAGRO</t>
  </si>
  <si>
    <t xml:space="preserve">Formulario de Registro de Hato Pecuario</t>
  </si>
  <si>
    <t xml:space="preserve">Seguros Universales  ·  Banco de Antigua  ·  Version 1.0  ·  Mayo 2026</t>
  </si>
  <si>
    <t xml:space="preserve">Módulo</t>
  </si>
  <si>
    <t xml:space="preserve">Descripción</t>
  </si>
  <si>
    <t xml:space="preserve">Estado</t>
  </si>
  <si>
    <t xml:space="preserve">M1 — Ganadero</t>
  </si>
  <si>
    <t xml:space="preserve">Datos personales del productor y vinculación Bantigua</t>
  </si>
  <si>
    <t xml:space="preserve">Listo para usar</t>
  </si>
  <si>
    <t xml:space="preserve">M2 — Finca</t>
  </si>
  <si>
    <t xml:space="preserve">Datos de la finca: nombre, área, GPS, fotografía</t>
  </si>
  <si>
    <t xml:space="preserve">M3 — Hato</t>
  </si>
  <si>
    <t xml:space="preserve">Registro de grupos de animales (multi-lote)</t>
  </si>
  <si>
    <t xml:space="preserve">M4 — Condiciones</t>
  </si>
  <si>
    <t xml:space="preserve">Agua, pasto, pozo y carga animal</t>
  </si>
  <si>
    <t xml:space="preserve">M5 — Instalaciones</t>
  </si>
  <si>
    <t xml:space="preserve">Tecnificación, desechos e infraestructura</t>
  </si>
  <si>
    <t xml:space="preserve">M6 — Siniestros</t>
  </si>
  <si>
    <t xml:space="preserve">Reporte de eventos: muerte, accidente, enfermedad</t>
  </si>
  <si>
    <t xml:space="preserve">M7 — Profilaxis</t>
  </si>
  <si>
    <t xml:space="preserve">Plan sanitario: vacas y becerros</t>
  </si>
  <si>
    <t xml:space="preserve">M8 — Panel KPIs</t>
  </si>
  <si>
    <t xml:space="preserve">Indicadores clave, semáforo y Retos BDA</t>
  </si>
  <si>
    <t xml:space="preserve">Cómo usar este formulario:</t>
  </si>
  <si>
    <t xml:space="preserve">1. Navega a cada hoja usando las pestañas en la parte inferior.</t>
  </si>
  <si>
    <t xml:space="preserve">2. Las celdas en blanco son campos de entrada — ingresa los datos directamente.</t>
  </si>
  <si>
    <t xml:space="preserve">3. Las celdas con listas desplegables tienen validación — usa el menú que aparece.</t>
  </si>
  <si>
    <t xml:space="preserve">4. Los campos marcados con (*) son obligatorios para la cotización del seguro.</t>
  </si>
  <si>
    <t xml:space="preserve">5. El Módulo 3 permite registrar múltiples grupos de animales — llena tantas filas como necesites.</t>
  </si>
  <si>
    <t xml:space="preserve">6. El Panel de KPIs (M8) se calcula automáticamente con los datos ingresados.</t>
  </si>
  <si>
    <t xml:space="preserve">  M1 — Registro del Ganadero</t>
  </si>
  <si>
    <t xml:space="preserve">  Ingresa los datos personales del productor ganadero y su vinculación con Bantigua.</t>
  </si>
  <si>
    <t xml:space="preserve">  Datos Personales</t>
  </si>
  <si>
    <t xml:space="preserve">Nombre completo *</t>
  </si>
  <si>
    <t xml:space="preserve">DPI / NIT *</t>
  </si>
  <si>
    <t xml:space="preserve">Teléfono principal *</t>
  </si>
  <si>
    <t xml:space="preserve">Teléfono alternativo</t>
  </si>
  <si>
    <t xml:space="preserve">Correo electrónico</t>
  </si>
  <si>
    <t xml:space="preserve">Departamento</t>
  </si>
  <si>
    <t xml:space="preserve">Municipio / Aldea</t>
  </si>
  <si>
    <t xml:space="preserve">Fecha de registro</t>
  </si>
  <si>
    <t xml:space="preserve">  Vinculación Bantigua</t>
  </si>
  <si>
    <t xml:space="preserve">Número de crédito *</t>
  </si>
  <si>
    <t xml:space="preserve">Agencia Bantigua *</t>
  </si>
  <si>
    <t xml:space="preserve">Nombre del ejecutivo de cuenta</t>
  </si>
  <si>
    <t xml:space="preserve">Fecha del crédito</t>
  </si>
  <si>
    <t xml:space="preserve">Monto del crédito (Q)</t>
  </si>
  <si>
    <t xml:space="preserve">Plazo (meses)</t>
  </si>
  <si>
    <t xml:space="preserve">  (*) Campos obligatorios para la cotización del seguro.</t>
  </si>
  <si>
    <t xml:space="preserve">  M2 — Registro de la Finca</t>
  </si>
  <si>
    <t xml:space="preserve">  Datos de la finca: ubicación, área, GPS y condiciones generales.</t>
  </si>
  <si>
    <t xml:space="preserve">  Identificación de la Finca</t>
  </si>
  <si>
    <t xml:space="preserve">Nombre de la finca *</t>
  </si>
  <si>
    <t xml:space="preserve">Nombre alternativo / Alias</t>
  </si>
  <si>
    <t xml:space="preserve">Departamento *</t>
  </si>
  <si>
    <t xml:space="preserve">Municipio *</t>
  </si>
  <si>
    <t xml:space="preserve">Aldea / Comunidad</t>
  </si>
  <si>
    <t xml:space="preserve">Dirección de acceso</t>
  </si>
  <si>
    <t xml:space="preserve">  Área y Geolocalización</t>
  </si>
  <si>
    <t xml:space="preserve">Área total de la finca *</t>
  </si>
  <si>
    <t xml:space="preserve">Unidad de medida</t>
  </si>
  <si>
    <t xml:space="preserve">Área de pastizal</t>
  </si>
  <si>
    <t xml:space="preserve">Unidad pastizal</t>
  </si>
  <si>
    <t xml:space="preserve">Manzanas</t>
  </si>
  <si>
    <t xml:space="preserve">Latitud GPS</t>
  </si>
  <si>
    <t xml:space="preserve">Longitud GPS</t>
  </si>
  <si>
    <t xml:space="preserve">Altitud (m.s.n.m.)</t>
  </si>
  <si>
    <t xml:space="preserve">Precisión GPS (m)</t>
  </si>
  <si>
    <t xml:space="preserve">  Fotografía y Observaciones</t>
  </si>
  <si>
    <t xml:space="preserve">Nombre del archivo de foto</t>
  </si>
  <si>
    <t xml:space="preserve">Observaciones generales</t>
  </si>
  <si>
    <t xml:space="preserve">  M3 — Registro del Hato (Multi-Lote)</t>
  </si>
  <si>
    <t xml:space="preserve">  Agrega una fila por cada grupo de animales. Puedes registrar múltiples especies y propósitos.</t>
  </si>
  <si>
    <t xml:space="preserve">#</t>
  </si>
  <si>
    <t xml:space="preserve">Especie *</t>
  </si>
  <si>
    <t xml:space="preserve">Propósito *</t>
  </si>
  <si>
    <t xml:space="preserve">Raza(s)</t>
  </si>
  <si>
    <t xml:space="preserve">Cantidad *</t>
  </si>
  <si>
    <t xml:space="preserve">Peso prom. (lb)</t>
  </si>
  <si>
    <t xml:space="preserve">Edad prom. (meses)</t>
  </si>
  <si>
    <t xml:space="preserve">Fierro / Marca</t>
  </si>
  <si>
    <t xml:space="preserve">Estado de salud</t>
  </si>
  <si>
    <t xml:space="preserve">Foto (archivo)</t>
  </si>
  <si>
    <t xml:space="preserve">Observaciones</t>
  </si>
  <si>
    <t xml:space="preserve">  Agrega más filas copiando el formato si necesitas registrar más de 20 grupos.</t>
  </si>
  <si>
    <t xml:space="preserve">TOTALES</t>
  </si>
  <si>
    <t xml:space="preserve">  M4 — Condiciones de la Finca</t>
  </si>
  <si>
    <t xml:space="preserve">  Agua, pasto, carga animal y condiciones productivas.</t>
  </si>
  <si>
    <t xml:space="preserve">  Pastizal y Carga Animal</t>
  </si>
  <si>
    <t xml:space="preserve">¿Tiene pasto propio? *</t>
  </si>
  <si>
    <t xml:space="preserve">Tipo de pasto</t>
  </si>
  <si>
    <t xml:space="preserve">Área pastizal (unidad M2)</t>
  </si>
  <si>
    <t xml:space="preserve">Total animales en finca *</t>
  </si>
  <si>
    <t xml:space="preserve">Carga animal (UGA/Mz) *</t>
  </si>
  <si>
    <t xml:space="preserve">Rotación de potreros</t>
  </si>
  <si>
    <t xml:space="preserve">Número de potreros</t>
  </si>
  <si>
    <t xml:space="preserve">Días de descanso por potrero</t>
  </si>
  <si>
    <t xml:space="preserve">  Fuente de Agua</t>
  </si>
  <si>
    <t xml:space="preserve">¿Tiene pozo propio? *</t>
  </si>
  <si>
    <t xml:space="preserve">Tipo de fuente principal *</t>
  </si>
  <si>
    <t xml:space="preserve">¿Agua disponible todo el año?</t>
  </si>
  <si>
    <t xml:space="preserve">Calidad del agua</t>
  </si>
  <si>
    <t xml:space="preserve">  Sistema de Alimentación</t>
  </si>
  <si>
    <t xml:space="preserve">Sistema principal</t>
  </si>
  <si>
    <t xml:space="preserve">Suplemento mineral</t>
  </si>
  <si>
    <t xml:space="preserve">Costo alimentación/día (Q)</t>
  </si>
  <si>
    <t xml:space="preserve">  La carga animal se calcula automáticamente dividiendo total de animales entre área de pastizal.</t>
  </si>
  <si>
    <t xml:space="preserve">  M5 — Instalaciones</t>
  </si>
  <si>
    <t xml:space="preserve">  Nivel de tecnificación, infraestructura y manejo de desechos.</t>
  </si>
  <si>
    <t xml:space="preserve">  Nivel de Tecnificación</t>
  </si>
  <si>
    <t xml:space="preserve">Nivel de tecnificación *</t>
  </si>
  <si>
    <t xml:space="preserve">¿Tiene corrales techados?</t>
  </si>
  <si>
    <t xml:space="preserve">¿Tiene equipo de ordeño?</t>
  </si>
  <si>
    <t xml:space="preserve">¿Registros sanitarios?</t>
  </si>
  <si>
    <t xml:space="preserve">  Infraestructura</t>
  </si>
  <si>
    <t xml:space="preserve">¿Tiene manga de trabajo?</t>
  </si>
  <si>
    <t xml:space="preserve">¿Tiene báscula?</t>
  </si>
  <si>
    <t xml:space="preserve">¿Tiene bodega de insumos?</t>
  </si>
  <si>
    <t xml:space="preserve">¿Tiene sistema de riego?</t>
  </si>
  <si>
    <t xml:space="preserve">¿Tiene bebederos fijos?</t>
  </si>
  <si>
    <t xml:space="preserve">¿Tiene comederos fijos?</t>
  </si>
  <si>
    <t xml:space="preserve">  Manejo de Desechos</t>
  </si>
  <si>
    <t xml:space="preserve">Sistema de desechos *</t>
  </si>
  <si>
    <t xml:space="preserve">Estado general de corrales</t>
  </si>
  <si>
    <t xml:space="preserve">Observaciones de infraestructura</t>
  </si>
  <si>
    <t xml:space="preserve">  M6 — Registro de Siniestros</t>
  </si>
  <si>
    <t xml:space="preserve">  Registra cada evento de pérdida o daño. Una fila por animal afectado.</t>
  </si>
  <si>
    <t xml:space="preserve">ID Animal</t>
  </si>
  <si>
    <t xml:space="preserve">Tipo de evento *</t>
  </si>
  <si>
    <t xml:space="preserve">Especie</t>
  </si>
  <si>
    <t xml:space="preserve">Fecha evento *</t>
  </si>
  <si>
    <t xml:space="preserve">Peso (lb)</t>
  </si>
  <si>
    <t xml:space="preserve">Valor est. (Q)</t>
  </si>
  <si>
    <t xml:space="preserve">Estado del caso</t>
  </si>
  <si>
    <t xml:space="preserve">  Emergencias 24/7: 1800-UNIAGRO  ·  Telemedicina veterinaria disponible</t>
  </si>
  <si>
    <t xml:space="preserve">  M7 — Plan de Profilaxis y Cuidados Pecuarios</t>
  </si>
  <si>
    <t xml:space="preserve">  Registra los eventos sanitarios ejecutados y programados del hato.</t>
  </si>
  <si>
    <t xml:space="preserve">  Plan Sanitario — Vacas</t>
  </si>
  <si>
    <t xml:space="preserve">Día del ciclo</t>
  </si>
  <si>
    <t xml:space="preserve">Evento sanitario</t>
  </si>
  <si>
    <t xml:space="preserve">Producto / medicamento</t>
  </si>
  <si>
    <t xml:space="preserve">Dosis</t>
  </si>
  <si>
    <t xml:space="preserve">Cantidad animales</t>
  </si>
  <si>
    <t xml:space="preserve">Fecha ejecutada</t>
  </si>
  <si>
    <t xml:space="preserve">Costo (Q)</t>
  </si>
  <si>
    <t xml:space="preserve">Responsable</t>
  </si>
  <si>
    <t xml:space="preserve">540</t>
  </si>
  <si>
    <t xml:space="preserve">Vitaminado</t>
  </si>
  <si>
    <t xml:space="preserve">Sagraymic + Doranic ad3e</t>
  </si>
  <si>
    <t xml:space="preserve">600</t>
  </si>
  <si>
    <t xml:space="preserve">Tratamiento celo F1</t>
  </si>
  <si>
    <t xml:space="preserve">Prostaglandina</t>
  </si>
  <si>
    <t xml:space="preserve">608</t>
  </si>
  <si>
    <t xml:space="preserve">Tratamiento celo F2</t>
  </si>
  <si>
    <t xml:space="preserve">615</t>
  </si>
  <si>
    <t xml:space="preserve">Tratamiento celo F3</t>
  </si>
  <si>
    <t xml:space="preserve">630</t>
  </si>
  <si>
    <t xml:space="preserve">Palpado</t>
  </si>
  <si>
    <t xml:space="preserve">Diagnóstico preñez</t>
  </si>
  <si>
    <t xml:space="preserve">780</t>
  </si>
  <si>
    <t xml:space="preserve">870</t>
  </si>
  <si>
    <t xml:space="preserve">Tratamiento pre parto</t>
  </si>
  <si>
    <t xml:space="preserve">Kyrofosan</t>
  </si>
  <si>
    <t xml:space="preserve">900</t>
  </si>
  <si>
    <t xml:space="preserve">Parida</t>
  </si>
  <si>
    <t xml:space="preserve">Monitoreo</t>
  </si>
  <si>
    <t xml:space="preserve">908</t>
  </si>
  <si>
    <t xml:space="preserve">Lavado uterino</t>
  </si>
  <si>
    <t xml:space="preserve">Fureal NF</t>
  </si>
  <si>
    <t xml:space="preserve">TOTAL VACAS</t>
  </si>
  <si>
    <t xml:space="preserve">  Plan Sanitario — Becerros</t>
  </si>
  <si>
    <t xml:space="preserve">Evento</t>
  </si>
  <si>
    <t xml:space="preserve">Producto</t>
  </si>
  <si>
    <t xml:space="preserve">Cantidad</t>
  </si>
  <si>
    <t xml:space="preserve">Fecha</t>
  </si>
  <si>
    <t xml:space="preserve">1</t>
  </si>
  <si>
    <t xml:space="preserve">Nacimiento + calostro</t>
  </si>
  <si>
    <t xml:space="preserve">Tímico Jet 2 / Calfon</t>
  </si>
  <si>
    <t xml:space="preserve">5 ml</t>
  </si>
  <si>
    <t xml:space="preserve">30</t>
  </si>
  <si>
    <t xml:space="preserve">Recibimiento + vitaminado F1</t>
  </si>
  <si>
    <t xml:space="preserve">Catosal B-12 + Doranic</t>
  </si>
  <si>
    <t xml:space="preserve">38</t>
  </si>
  <si>
    <t xml:space="preserve">Vitaminado F2</t>
  </si>
  <si>
    <t xml:space="preserve">Sagraymic</t>
  </si>
  <si>
    <t xml:space="preserve">45</t>
  </si>
  <si>
    <t xml:space="preserve">Vitaminado F3 + Bañado</t>
  </si>
  <si>
    <t xml:space="preserve">Sagraymic + Rodeo Viral</t>
  </si>
  <si>
    <t xml:space="preserve">120</t>
  </si>
  <si>
    <t xml:space="preserve">Marcado y numerado</t>
  </si>
  <si>
    <t xml:space="preserve">Fierro / tatuadora</t>
  </si>
  <si>
    <t xml:space="preserve">210</t>
  </si>
  <si>
    <t xml:space="preserve">Destete + vacunación</t>
  </si>
  <si>
    <t xml:space="preserve">Rodeo 11 Vías + Derrigan</t>
  </si>
  <si>
    <t xml:space="preserve">TOTAL BECERROS</t>
  </si>
  <si>
    <t xml:space="preserve">  Costo referencia: vacas Q1,503.72 / ciclo · becerros Q568.03 / cabeza (Plan Profiláctico Bantigua)</t>
  </si>
  <si>
    <t xml:space="preserve">  M8 — Panel del Productor · Mi Finca en Números</t>
  </si>
  <si>
    <t xml:space="preserve">  Los indicadores se calculan automáticamente con los datos ingresados en los módulos anteriores.</t>
  </si>
  <si>
    <t xml:space="preserve">  Indicadores Clave (KPIs)</t>
  </si>
  <si>
    <t xml:space="preserve">Indicador</t>
  </si>
  <si>
    <t xml:space="preserve">Valor actual</t>
  </si>
  <si>
    <t xml:space="preserve">Unidad</t>
  </si>
  <si>
    <t xml:space="preserve">Meta 2025</t>
  </si>
  <si>
    <t xml:space="preserve">Meta 2026</t>
  </si>
  <si>
    <t xml:space="preserve">Meta 2027</t>
  </si>
  <si>
    <t xml:space="preserve">% vs meta</t>
  </si>
  <si>
    <t xml:space="preserve">Semáforo</t>
  </si>
  <si>
    <t xml:space="preserve">Fuente</t>
  </si>
  <si>
    <t xml:space="preserve">Inventario total</t>
  </si>
  <si>
    <t xml:space="preserve">Cabezas</t>
  </si>
  <si>
    <t xml:space="preserve">-</t>
  </si>
  <si>
    <t xml:space="preserve">Carga animal</t>
  </si>
  <si>
    <t xml:space="preserve">UGA/Mz</t>
  </si>
  <si>
    <t xml:space="preserve">1.3</t>
  </si>
  <si>
    <t xml:space="preserve">2.0</t>
  </si>
  <si>
    <t xml:space="preserve">2.5</t>
  </si>
  <si>
    <t xml:space="preserve">Nivel de preñez</t>
  </si>
  <si>
    <t xml:space="preserve">%</t>
  </si>
  <si>
    <t xml:space="preserve">60%</t>
  </si>
  <si>
    <t xml:space="preserve">75%</t>
  </si>
  <si>
    <t xml:space="preserve">85%</t>
  </si>
  <si>
    <t xml:space="preserve">Registro manual</t>
  </si>
  <si>
    <t xml:space="preserve">Mortalidad del hato</t>
  </si>
  <si>
    <t xml:space="preserve">4.0%</t>
  </si>
  <si>
    <t xml:space="preserve">3.0%</t>
  </si>
  <si>
    <t xml:space="preserve">2.0%</t>
  </si>
  <si>
    <t xml:space="preserve">Ganancia de peso diaria</t>
  </si>
  <si>
    <t xml:space="preserve">lb/día</t>
  </si>
  <si>
    <t xml:space="preserve">1.40</t>
  </si>
  <si>
    <t xml:space="preserve">1.79</t>
  </si>
  <si>
    <t xml:space="preserve">2.29</t>
  </si>
  <si>
    <t xml:space="preserve">Peso al destete</t>
  </si>
  <si>
    <t xml:space="preserve">Libras</t>
  </si>
  <si>
    <t xml:space="preserve">410</t>
  </si>
  <si>
    <t xml:space="preserve">460</t>
  </si>
  <si>
    <t xml:space="preserve">500</t>
  </si>
  <si>
    <t xml:space="preserve">Costo profilaxis / ciclo (Q)</t>
  </si>
  <si>
    <t xml:space="preserve">Quetzales</t>
  </si>
  <si>
    <t xml:space="preserve">Litros leche / día</t>
  </si>
  <si>
    <t xml:space="preserve">Litros</t>
  </si>
  <si>
    <t xml:space="preserve">  Semáforo: ingresa Verde / Ámbar / Rojo en la columna J de cada indicador según tu evaluación.</t>
  </si>
  <si>
    <t xml:space="preserve">  Retos BDA — Progreso</t>
  </si>
  <si>
    <t xml:space="preserve">Reto</t>
  </si>
  <si>
    <t xml:space="preserve">KPI</t>
  </si>
  <si>
    <t xml:space="preserve">Meta</t>
  </si>
  <si>
    <t xml:space="preserve">% progreso</t>
  </si>
  <si>
    <t xml:space="preserve">Diagnóstico</t>
  </si>
  <si>
    <t xml:space="preserve">1er Reto</t>
  </si>
  <si>
    <t xml:space="preserve">Preñez 95%</t>
  </si>
  <si>
    <t xml:space="preserve">95%</t>
  </si>
  <si>
    <t xml:space="preserve">2do Reto</t>
  </si>
  <si>
    <t xml:space="preserve">Peso 500 lb / 7 meses</t>
  </si>
  <si>
    <t xml:space="preserve">3er Reto</t>
  </si>
  <si>
    <t xml:space="preserve">Carga 2.5 UGA/Mz</t>
  </si>
  <si>
    <t xml:space="preserve">  Resumen del Seguro</t>
  </si>
  <si>
    <t xml:space="preserve">Valor asegurado estimado (Q)</t>
  </si>
  <si>
    <t xml:space="preserve">Tipo de seguro recomendado</t>
  </si>
  <si>
    <t xml:space="preserve">Estado del registro</t>
  </si>
  <si>
    <t xml:space="preserve">Seguro Pecuario Embebido</t>
  </si>
  <si>
    <t xml:space="preserve">En proceso</t>
  </si>
  <si>
    <t xml:space="preserve">  Valor asegurado estimado = inventario total × 500 lb × Q3.50/lb. Ajustar con valuación veterinaria.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</si>
</sst>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Arial"/>
      <family val="0"/>
      <charset val="1"/>
    </font>
    <font>
      <b val="true"/>
      <sz val="16"/>
      <color rgb="FFB8D0EE"/>
      <name val="Arial"/>
      <family val="0"/>
      <charset val="1"/>
    </font>
    <font>
      <i val="true"/>
      <sz val="10"/>
      <color rgb="FFB8D0E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D3A6B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3B6D11"/>
      <name val="Arial"/>
      <family val="0"/>
      <charset val="1"/>
    </font>
    <font>
      <b val="true"/>
      <sz val="10"/>
      <color rgb="FF1A4F8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0D3A6B"/>
      <name val="Arial"/>
      <family val="0"/>
      <charset val="1"/>
    </font>
    <font>
      <b val="true"/>
      <sz val="10"/>
      <color rgb="FF0D3A6B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A32D2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54F0B"/>
      <name val="Arial"/>
      <family val="0"/>
      <charset val="1"/>
    </font>
    <font>
      <b val="true"/>
      <sz val="11"/>
      <color rgb="FF1A4F8C"/>
      <name val="Arial"/>
      <family val="0"/>
      <charset val="1"/>
    </font>
    <font>
      <i val="true"/>
      <sz val="9"/>
      <color rgb="FF3B6D11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4F8C"/>
        <bgColor rgb="FF0D3A6B"/>
      </patternFill>
    </fill>
    <fill>
      <patternFill patternType="solid">
        <fgColor rgb="FF0D3A6B"/>
        <bgColor rgb="FF1A4F8C"/>
      </patternFill>
    </fill>
    <fill>
      <patternFill patternType="solid">
        <fgColor rgb="FFF5F5F5"/>
        <bgColor rgb="FFE8F0FA"/>
      </patternFill>
    </fill>
    <fill>
      <patternFill patternType="solid">
        <fgColor rgb="FFEAF3DE"/>
        <bgColor rgb="FFE8F0FA"/>
      </patternFill>
    </fill>
    <fill>
      <patternFill patternType="solid">
        <fgColor rgb="FFFFFFFF"/>
        <bgColor rgb="FFF5F5F5"/>
      </patternFill>
    </fill>
    <fill>
      <patternFill patternType="solid">
        <fgColor rgb="FFE8F0FA"/>
        <bgColor rgb="FFF5F5F5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medium">
        <color rgb="FF1A4F8C"/>
      </left>
      <right/>
      <top style="medium">
        <color rgb="FF1A4F8C"/>
      </top>
      <bottom style="medium">
        <color rgb="FF1A4F8C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medium">
        <color rgb="FF1A4F8C"/>
      </bottom>
      <diagonal/>
    </border>
    <border diagonalUp="false" diagonalDown="false">
      <left style="thin">
        <color rgb="FFB8D0EE"/>
      </left>
      <right style="thin">
        <color rgb="FFB8D0EE"/>
      </right>
      <top style="thin">
        <color rgb="FFB8D0EE"/>
      </top>
      <bottom style="thin">
        <color rgb="FFB8D0EE"/>
      </bottom>
      <diagonal/>
    </border>
    <border diagonalUp="false" diagonalDown="false">
      <left style="medium">
        <color rgb="FF0D3A6B"/>
      </left>
      <right style="medium">
        <color rgb="FF0D3A6B"/>
      </right>
      <top style="medium">
        <color rgb="FF0D3A6B"/>
      </top>
      <bottom style="medium">
        <color rgb="FF0D3A6B"/>
      </bottom>
      <diagonal/>
    </border>
    <border diagonalUp="false" diagonalDown="false">
      <left style="medium">
        <color rgb="FF1A4F8C"/>
      </left>
      <right style="medium">
        <color rgb="FF1A4F8C"/>
      </right>
      <top style="medium">
        <color rgb="FF1A4F8C"/>
      </top>
      <bottom style="medium">
        <color rgb="FF1A4F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08080"/>
      <rgbColor rgb="FFE0E0E0"/>
      <rgbColor rgb="FF808080"/>
      <rgbColor rgb="FF9999FF"/>
      <rgbColor rgb="FF993366"/>
      <rgbColor rgb="FFFAEEDA"/>
      <rgbColor rgb="FFE8F0FA"/>
      <rgbColor rgb="FF660066"/>
      <rgbColor rgb="FFFF8080"/>
      <rgbColor rgb="FF0066CC"/>
      <rgbColor rgb="FFB8D0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A6B"/>
      <rgbColor rgb="FF339966"/>
      <rgbColor rgb="FF003300"/>
      <rgbColor rgb="FF333300"/>
      <rgbColor rgb="FFA32D2D"/>
      <rgbColor rgb="FF993366"/>
      <rgbColor rgb="FF1A4F8C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11" min="5" style="0" width="14"/>
  </cols>
  <sheetData>
    <row r="1" customFormat="false" ht="9.75" hidden="false" customHeight="true" outlineLevel="0" collapsed="false"/>
    <row r="2" customFormat="false" ht="60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/>
    <row r="6" customFormat="false" ht="21.75" hidden="false" customHeight="true" outlineLevel="0" collapsed="false">
      <c r="B6" s="4" t="s">
        <v>3</v>
      </c>
      <c r="C6" s="4" t="s">
        <v>4</v>
      </c>
      <c r="D6" s="4" t="s">
        <v>5</v>
      </c>
      <c r="E6" s="4"/>
      <c r="F6" s="4"/>
      <c r="G6" s="4"/>
      <c r="H6" s="4"/>
      <c r="I6" s="4"/>
      <c r="J6" s="4"/>
      <c r="K6" s="4"/>
    </row>
    <row r="7" customFormat="false" ht="18" hidden="false" customHeight="true" outlineLevel="0" collapsed="false">
      <c r="B7" s="5" t="s">
        <v>6</v>
      </c>
      <c r="C7" s="6" t="s">
        <v>7</v>
      </c>
      <c r="D7" s="7" t="s">
        <v>8</v>
      </c>
      <c r="E7" s="7"/>
      <c r="F7" s="7"/>
      <c r="G7" s="7"/>
      <c r="H7" s="7"/>
      <c r="I7" s="7"/>
      <c r="J7" s="7"/>
      <c r="K7" s="7"/>
    </row>
    <row r="8" customFormat="false" ht="18" hidden="false" customHeight="true" outlineLevel="0" collapsed="false">
      <c r="B8" s="8" t="s">
        <v>9</v>
      </c>
      <c r="C8" s="9" t="s">
        <v>10</v>
      </c>
      <c r="D8" s="7" t="s">
        <v>8</v>
      </c>
      <c r="E8" s="7"/>
      <c r="F8" s="7"/>
      <c r="G8" s="7"/>
      <c r="H8" s="7"/>
      <c r="I8" s="7"/>
      <c r="J8" s="7"/>
      <c r="K8" s="7"/>
    </row>
    <row r="9" customFormat="false" ht="18" hidden="false" customHeight="true" outlineLevel="0" collapsed="false">
      <c r="B9" s="5" t="s">
        <v>11</v>
      </c>
      <c r="C9" s="6" t="s">
        <v>12</v>
      </c>
      <c r="D9" s="7" t="s">
        <v>8</v>
      </c>
      <c r="E9" s="7"/>
      <c r="F9" s="7"/>
      <c r="G9" s="7"/>
      <c r="H9" s="7"/>
      <c r="I9" s="7"/>
      <c r="J9" s="7"/>
      <c r="K9" s="7"/>
    </row>
    <row r="10" customFormat="false" ht="18" hidden="false" customHeight="true" outlineLevel="0" collapsed="false">
      <c r="B10" s="8" t="s">
        <v>13</v>
      </c>
      <c r="C10" s="9" t="s">
        <v>14</v>
      </c>
      <c r="D10" s="7" t="s">
        <v>8</v>
      </c>
      <c r="E10" s="7"/>
      <c r="F10" s="7"/>
      <c r="G10" s="7"/>
      <c r="H10" s="7"/>
      <c r="I10" s="7"/>
      <c r="J10" s="7"/>
      <c r="K10" s="7"/>
    </row>
    <row r="11" customFormat="false" ht="18" hidden="false" customHeight="true" outlineLevel="0" collapsed="false">
      <c r="B11" s="5" t="s">
        <v>15</v>
      </c>
      <c r="C11" s="6" t="s">
        <v>16</v>
      </c>
      <c r="D11" s="7" t="s">
        <v>8</v>
      </c>
      <c r="E11" s="7"/>
      <c r="F11" s="7"/>
      <c r="G11" s="7"/>
      <c r="H11" s="7"/>
      <c r="I11" s="7"/>
      <c r="J11" s="7"/>
      <c r="K11" s="7"/>
    </row>
    <row r="12" customFormat="false" ht="18" hidden="false" customHeight="true" outlineLevel="0" collapsed="false">
      <c r="B12" s="8" t="s">
        <v>17</v>
      </c>
      <c r="C12" s="9" t="s">
        <v>18</v>
      </c>
      <c r="D12" s="7" t="s">
        <v>8</v>
      </c>
      <c r="E12" s="7"/>
      <c r="F12" s="7"/>
      <c r="G12" s="7"/>
      <c r="H12" s="7"/>
      <c r="I12" s="7"/>
      <c r="J12" s="7"/>
      <c r="K12" s="7"/>
    </row>
    <row r="13" customFormat="false" ht="18" hidden="false" customHeight="true" outlineLevel="0" collapsed="false">
      <c r="B13" s="5" t="s">
        <v>19</v>
      </c>
      <c r="C13" s="6" t="s">
        <v>20</v>
      </c>
      <c r="D13" s="7" t="s">
        <v>8</v>
      </c>
      <c r="E13" s="7"/>
      <c r="F13" s="7"/>
      <c r="G13" s="7"/>
      <c r="H13" s="7"/>
      <c r="I13" s="7"/>
      <c r="J13" s="7"/>
      <c r="K13" s="7"/>
    </row>
    <row r="14" customFormat="false" ht="18" hidden="false" customHeight="true" outlineLevel="0" collapsed="false">
      <c r="B14" s="8" t="s">
        <v>21</v>
      </c>
      <c r="C14" s="9" t="s">
        <v>22</v>
      </c>
      <c r="D14" s="7" t="s">
        <v>8</v>
      </c>
      <c r="E14" s="7"/>
      <c r="F14" s="7"/>
      <c r="G14" s="7"/>
      <c r="H14" s="7"/>
      <c r="I14" s="7"/>
      <c r="J14" s="7"/>
      <c r="K14" s="7"/>
    </row>
    <row r="16" customFormat="false" ht="9.75" hidden="false" customHeight="true" outlineLevel="0" collapsed="false"/>
    <row r="17" customFormat="false" ht="15.75" hidden="false" customHeight="true" outlineLevel="0" collapsed="false">
      <c r="B17" s="10" t="s">
        <v>23</v>
      </c>
      <c r="C17" s="10"/>
      <c r="D17" s="10"/>
      <c r="E17" s="10"/>
      <c r="F17" s="10"/>
      <c r="G17" s="10"/>
      <c r="H17" s="10"/>
      <c r="I17" s="10"/>
      <c r="J17" s="10"/>
      <c r="K17" s="10"/>
    </row>
    <row r="18" customFormat="false" ht="15.75" hidden="false" customHeight="true" outlineLevel="0" collapsed="false">
      <c r="B18" s="11" t="s">
        <v>24</v>
      </c>
      <c r="C18" s="11"/>
      <c r="D18" s="11"/>
      <c r="E18" s="11"/>
      <c r="F18" s="11"/>
      <c r="G18" s="11"/>
      <c r="H18" s="11"/>
      <c r="I18" s="11"/>
      <c r="J18" s="11"/>
      <c r="K18" s="11"/>
    </row>
    <row r="19" customFormat="false" ht="15.75" hidden="false" customHeight="true" outlineLevel="0" collapsed="false">
      <c r="B19" s="11" t="s">
        <v>25</v>
      </c>
      <c r="C19" s="11"/>
      <c r="D19" s="11"/>
      <c r="E19" s="11"/>
      <c r="F19" s="11"/>
      <c r="G19" s="11"/>
      <c r="H19" s="11"/>
      <c r="I19" s="11"/>
      <c r="J19" s="11"/>
      <c r="K19" s="11"/>
    </row>
    <row r="20" customFormat="false" ht="15.75" hidden="false" customHeight="true" outlineLevel="0" collapsed="false">
      <c r="B20" s="11" t="s">
        <v>26</v>
      </c>
      <c r="C20" s="11"/>
      <c r="D20" s="11"/>
      <c r="E20" s="11"/>
      <c r="F20" s="11"/>
      <c r="G20" s="11"/>
      <c r="H20" s="11"/>
      <c r="I20" s="11"/>
      <c r="J20" s="11"/>
      <c r="K20" s="11"/>
    </row>
    <row r="21" customFormat="false" ht="15.75" hidden="false" customHeight="true" outlineLevel="0" collapsed="false">
      <c r="B21" s="11" t="s">
        <v>27</v>
      </c>
      <c r="C21" s="11"/>
      <c r="D21" s="11"/>
      <c r="E21" s="11"/>
      <c r="F21" s="11"/>
      <c r="G21" s="11"/>
      <c r="H21" s="11"/>
      <c r="I21" s="11"/>
      <c r="J21" s="11"/>
      <c r="K21" s="11"/>
    </row>
    <row r="22" customFormat="false" ht="15.75" hidden="false" customHeight="true" outlineLevel="0" collapsed="false">
      <c r="B22" s="11" t="s">
        <v>28</v>
      </c>
      <c r="C22" s="11"/>
      <c r="D22" s="11"/>
      <c r="E22" s="11"/>
      <c r="F22" s="11"/>
      <c r="G22" s="11"/>
      <c r="H22" s="11"/>
      <c r="I22" s="11"/>
      <c r="J22" s="11"/>
      <c r="K22" s="11"/>
    </row>
    <row r="23" customFormat="false" ht="15.75" hidden="false" customHeight="true" outlineLevel="0" collapsed="false">
      <c r="B23" s="11" t="s">
        <v>29</v>
      </c>
      <c r="C23" s="11"/>
      <c r="D23" s="11"/>
      <c r="E23" s="11"/>
      <c r="F23" s="11"/>
      <c r="G23" s="11"/>
      <c r="H23" s="11"/>
      <c r="I23" s="11"/>
      <c r="J23" s="11"/>
      <c r="K23" s="11"/>
    </row>
  </sheetData>
  <mergeCells count="19">
    <mergeCell ref="A2:K2"/>
    <mergeCell ref="A3:K3"/>
    <mergeCell ref="A4:K4"/>
    <mergeCell ref="D6:K6"/>
    <mergeCell ref="D7:K7"/>
    <mergeCell ref="D8:K8"/>
    <mergeCell ref="D9:K9"/>
    <mergeCell ref="D10:K10"/>
    <mergeCell ref="D11:K11"/>
    <mergeCell ref="D12:K12"/>
    <mergeCell ref="D13:K13"/>
    <mergeCell ref="D14:K14"/>
    <mergeCell ref="B17:K17"/>
    <mergeCell ref="B18:K18"/>
    <mergeCell ref="B19:K19"/>
    <mergeCell ref="B20:K20"/>
    <mergeCell ref="B21:K21"/>
    <mergeCell ref="B22:K22"/>
    <mergeCell ref="B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10" min="6" style="0" width="12"/>
  </cols>
  <sheetData>
    <row r="1" customFormat="false" ht="21.75" hidden="false" customHeight="true" outlineLevel="0" collapsed="false">
      <c r="A1" s="12" t="s">
        <v>30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31</v>
      </c>
      <c r="B2" s="13"/>
      <c r="C2" s="13"/>
      <c r="D2" s="13"/>
      <c r="E2" s="13"/>
      <c r="F2" s="13"/>
      <c r="G2" s="13"/>
      <c r="H2" s="13"/>
      <c r="I2" s="13"/>
    </row>
    <row r="4" customFormat="false" ht="18" hidden="false" customHeight="true" outlineLevel="0" collapsed="false">
      <c r="A4" s="14" t="s">
        <v>32</v>
      </c>
      <c r="B4" s="14"/>
      <c r="C4" s="14"/>
      <c r="D4" s="14"/>
      <c r="E4" s="14"/>
      <c r="F4" s="14"/>
      <c r="G4" s="14"/>
      <c r="H4" s="14"/>
      <c r="I4" s="14"/>
    </row>
    <row r="5" customFormat="false" ht="13.5" hidden="false" customHeight="true" outlineLevel="0" collapsed="false">
      <c r="B5" s="5" t="s">
        <v>33</v>
      </c>
      <c r="D5" s="5" t="s">
        <v>34</v>
      </c>
    </row>
    <row r="6" customFormat="false" ht="19.5" hidden="false" customHeight="true" outlineLevel="0" collapsed="false">
      <c r="B6" s="15"/>
      <c r="C6" s="15"/>
      <c r="D6" s="15"/>
      <c r="E6" s="15"/>
    </row>
    <row r="7" customFormat="false" ht="13.5" hidden="false" customHeight="true" outlineLevel="0" collapsed="false">
      <c r="B7" s="5" t="s">
        <v>35</v>
      </c>
      <c r="D7" s="5" t="s">
        <v>36</v>
      </c>
    </row>
    <row r="8" customFormat="false" ht="19.5" hidden="false" customHeight="true" outlineLevel="0" collapsed="false">
      <c r="B8" s="15"/>
      <c r="C8" s="15"/>
      <c r="D8" s="15"/>
      <c r="E8" s="15"/>
    </row>
    <row r="9" customFormat="false" ht="13.5" hidden="false" customHeight="true" outlineLevel="0" collapsed="false">
      <c r="B9" s="5" t="s">
        <v>37</v>
      </c>
      <c r="D9" s="5" t="s">
        <v>38</v>
      </c>
    </row>
    <row r="10" customFormat="false" ht="19.5" hidden="false" customHeight="true" outlineLevel="0" collapsed="false">
      <c r="B10" s="15"/>
      <c r="C10" s="15"/>
      <c r="D10" s="15"/>
      <c r="E10" s="15"/>
    </row>
    <row r="11" customFormat="false" ht="13.5" hidden="false" customHeight="true" outlineLevel="0" collapsed="false">
      <c r="B11" s="5" t="s">
        <v>39</v>
      </c>
      <c r="D11" s="5" t="s">
        <v>40</v>
      </c>
    </row>
    <row r="12" customFormat="false" ht="19.5" hidden="false" customHeight="true" outlineLevel="0" collapsed="false">
      <c r="B12" s="15"/>
      <c r="C12" s="15"/>
      <c r="D12" s="15"/>
      <c r="E12" s="15"/>
    </row>
    <row r="14" customFormat="false" ht="18" hidden="false" customHeight="true" outlineLevel="0" collapsed="false">
      <c r="A14" s="14" t="s">
        <v>41</v>
      </c>
      <c r="B14" s="14"/>
      <c r="C14" s="14"/>
      <c r="D14" s="14"/>
      <c r="E14" s="14"/>
      <c r="F14" s="14"/>
      <c r="G14" s="14"/>
      <c r="H14" s="14"/>
      <c r="I14" s="14"/>
    </row>
    <row r="15" customFormat="false" ht="13.5" hidden="false" customHeight="true" outlineLevel="0" collapsed="false">
      <c r="B15" s="5" t="s">
        <v>42</v>
      </c>
      <c r="D15" s="5" t="s">
        <v>43</v>
      </c>
    </row>
    <row r="16" customFormat="false" ht="19.5" hidden="false" customHeight="true" outlineLevel="0" collapsed="false">
      <c r="B16" s="15"/>
      <c r="C16" s="15"/>
      <c r="D16" s="15"/>
      <c r="E16" s="15"/>
    </row>
    <row r="17" customFormat="false" ht="13.5" hidden="false" customHeight="true" outlineLevel="0" collapsed="false">
      <c r="B17" s="5" t="s">
        <v>44</v>
      </c>
      <c r="D17" s="5" t="s">
        <v>45</v>
      </c>
    </row>
    <row r="18" customFormat="false" ht="19.5" hidden="false" customHeight="true" outlineLevel="0" collapsed="false">
      <c r="B18" s="15"/>
      <c r="C18" s="15"/>
      <c r="D18" s="15"/>
      <c r="E18" s="15"/>
    </row>
    <row r="19" customFormat="false" ht="13.5" hidden="false" customHeight="true" outlineLevel="0" collapsed="false">
      <c r="B19" s="5" t="s">
        <v>46</v>
      </c>
      <c r="D19" s="5" t="s">
        <v>47</v>
      </c>
    </row>
    <row r="20" customFormat="false" ht="19.5" hidden="false" customHeight="true" outlineLevel="0" collapsed="false">
      <c r="B20" s="15"/>
      <c r="C20" s="15"/>
      <c r="D20" s="15"/>
      <c r="E20" s="15"/>
    </row>
    <row r="22" customFormat="false" ht="15" hidden="false" customHeight="true" outlineLevel="0" collapsed="false">
      <c r="A22" s="16" t="s">
        <v>48</v>
      </c>
      <c r="B22" s="16"/>
      <c r="C22" s="16"/>
      <c r="D22" s="16"/>
      <c r="E22" s="16"/>
      <c r="F22" s="16"/>
      <c r="G22" s="16"/>
      <c r="H22" s="16"/>
      <c r="I22" s="16"/>
    </row>
  </sheetData>
  <mergeCells count="19">
    <mergeCell ref="A1:I1"/>
    <mergeCell ref="A2:I2"/>
    <mergeCell ref="A4:I4"/>
    <mergeCell ref="B6:C6"/>
    <mergeCell ref="D6:E6"/>
    <mergeCell ref="B8:C8"/>
    <mergeCell ref="D8:E8"/>
    <mergeCell ref="B10:C10"/>
    <mergeCell ref="D10:E10"/>
    <mergeCell ref="B12:C12"/>
    <mergeCell ref="D12:E12"/>
    <mergeCell ref="A14:I14"/>
    <mergeCell ref="B16:C16"/>
    <mergeCell ref="D16:E16"/>
    <mergeCell ref="B18:C18"/>
    <mergeCell ref="D18:E18"/>
    <mergeCell ref="B20:C20"/>
    <mergeCell ref="D20:E20"/>
    <mergeCell ref="A22:I22"/>
  </mergeCells>
  <dataValidations count="1">
    <dataValidation allowBlank="true" errorStyle="stop" operator="between" showDropDown="false" showErrorMessage="false" showInputMessage="false" sqref="E16" type="list">
      <formula1>"Guatemala,Escuintla,Retalhuleu,Petén,Alta Verapaz,Izabal,Quetzaltenango,San Marcos"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6"/>
    <col collapsed="false" customWidth="true" hidden="false" outlineLevel="0" max="10" min="6" style="0" width="10"/>
  </cols>
  <sheetData>
    <row r="1" customFormat="false" ht="21.75" hidden="false" customHeight="true" outlineLevel="0" collapsed="false">
      <c r="A1" s="12" t="s">
        <v>49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50</v>
      </c>
      <c r="B2" s="13"/>
      <c r="C2" s="13"/>
      <c r="D2" s="13"/>
      <c r="E2" s="13"/>
      <c r="F2" s="13"/>
      <c r="G2" s="13"/>
      <c r="H2" s="13"/>
      <c r="I2" s="13"/>
    </row>
    <row r="4" customFormat="false" ht="18" hidden="false" customHeight="true" outlineLevel="0" collapsed="false">
      <c r="A4" s="14" t="s">
        <v>51</v>
      </c>
      <c r="B4" s="14"/>
      <c r="C4" s="14"/>
      <c r="D4" s="14"/>
      <c r="E4" s="14"/>
      <c r="F4" s="14"/>
      <c r="G4" s="14"/>
      <c r="H4" s="14"/>
      <c r="I4" s="14"/>
    </row>
    <row r="5" customFormat="false" ht="13.5" hidden="false" customHeight="true" outlineLevel="0" collapsed="false">
      <c r="B5" s="5" t="s">
        <v>52</v>
      </c>
      <c r="D5" s="5" t="s">
        <v>53</v>
      </c>
    </row>
    <row r="6" customFormat="false" ht="19.5" hidden="false" customHeight="true" outlineLevel="0" collapsed="false">
      <c r="B6" s="15"/>
      <c r="C6" s="15"/>
      <c r="D6" s="15"/>
      <c r="E6" s="15"/>
    </row>
    <row r="7" customFormat="false" ht="13.5" hidden="false" customHeight="true" outlineLevel="0" collapsed="false">
      <c r="B7" s="5" t="s">
        <v>54</v>
      </c>
      <c r="D7" s="5" t="s">
        <v>55</v>
      </c>
    </row>
    <row r="8" customFormat="false" ht="19.5" hidden="false" customHeight="true" outlineLevel="0" collapsed="false">
      <c r="B8" s="15"/>
      <c r="C8" s="15"/>
      <c r="D8" s="15"/>
      <c r="E8" s="15"/>
    </row>
    <row r="9" customFormat="false" ht="13.5" hidden="false" customHeight="true" outlineLevel="0" collapsed="false">
      <c r="B9" s="5" t="s">
        <v>56</v>
      </c>
      <c r="D9" s="5" t="s">
        <v>57</v>
      </c>
    </row>
    <row r="10" customFormat="false" ht="19.5" hidden="false" customHeight="true" outlineLevel="0" collapsed="false">
      <c r="B10" s="15"/>
      <c r="C10" s="15"/>
      <c r="D10" s="15"/>
      <c r="E10" s="15"/>
    </row>
    <row r="12" customFormat="false" ht="18" hidden="false" customHeight="true" outlineLevel="0" collapsed="false">
      <c r="A12" s="14" t="s">
        <v>58</v>
      </c>
      <c r="B12" s="14"/>
      <c r="C12" s="14"/>
      <c r="D12" s="14"/>
      <c r="E12" s="14"/>
      <c r="F12" s="14"/>
      <c r="G12" s="14"/>
      <c r="H12" s="14"/>
      <c r="I12" s="14"/>
    </row>
    <row r="13" customFormat="false" ht="15" hidden="false" customHeight="false" outlineLevel="0" collapsed="false">
      <c r="B13" s="5" t="s">
        <v>59</v>
      </c>
      <c r="C13" s="5" t="s">
        <v>60</v>
      </c>
      <c r="D13" s="5" t="s">
        <v>61</v>
      </c>
      <c r="E13" s="5" t="s">
        <v>62</v>
      </c>
    </row>
    <row r="14" customFormat="false" ht="15" hidden="false" customHeight="false" outlineLevel="0" collapsed="false">
      <c r="B14" s="15"/>
      <c r="C14" s="15" t="s">
        <v>63</v>
      </c>
      <c r="D14" s="15"/>
      <c r="E14" s="15" t="s">
        <v>63</v>
      </c>
    </row>
    <row r="15" customFormat="false" ht="15" hidden="false" customHeight="false" outlineLevel="0" collapsed="false">
      <c r="B15" s="5" t="s">
        <v>64</v>
      </c>
      <c r="C15" s="5" t="s">
        <v>65</v>
      </c>
      <c r="D15" s="5" t="s">
        <v>66</v>
      </c>
      <c r="E15" s="5" t="s">
        <v>67</v>
      </c>
    </row>
    <row r="16" customFormat="false" ht="15" hidden="false" customHeight="false" outlineLevel="0" collapsed="false">
      <c r="B16" s="15"/>
      <c r="C16" s="15"/>
      <c r="D16" s="15"/>
      <c r="E16" s="15"/>
    </row>
    <row r="18" customFormat="false" ht="18" hidden="false" customHeight="true" outlineLevel="0" collapsed="false">
      <c r="A18" s="14" t="s">
        <v>68</v>
      </c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B19" s="5" t="s">
        <v>69</v>
      </c>
      <c r="E19" s="5" t="s">
        <v>70</v>
      </c>
    </row>
    <row r="20" customFormat="false" ht="39.75" hidden="false" customHeight="true" outlineLevel="0" collapsed="false">
      <c r="B20" s="15"/>
      <c r="C20" s="15"/>
      <c r="D20" s="15"/>
      <c r="E20" s="15"/>
    </row>
    <row r="22" customFormat="false" ht="15" hidden="false" customHeight="true" outlineLevel="0" collapsed="false">
      <c r="A22" s="16" t="s">
        <v>48</v>
      </c>
      <c r="B22" s="16"/>
      <c r="C22" s="16"/>
      <c r="D22" s="16"/>
      <c r="E22" s="16"/>
      <c r="F22" s="16"/>
      <c r="G22" s="16"/>
      <c r="H22" s="16"/>
      <c r="I22" s="16"/>
    </row>
  </sheetData>
  <mergeCells count="13">
    <mergeCell ref="A1:I1"/>
    <mergeCell ref="A2:I2"/>
    <mergeCell ref="A4:I4"/>
    <mergeCell ref="B6:C6"/>
    <mergeCell ref="D6:E6"/>
    <mergeCell ref="B8:C8"/>
    <mergeCell ref="D8:E8"/>
    <mergeCell ref="B10:C10"/>
    <mergeCell ref="D10:E10"/>
    <mergeCell ref="A12:I12"/>
    <mergeCell ref="A18:I18"/>
    <mergeCell ref="B20:D20"/>
    <mergeCell ref="A22:I22"/>
  </mergeCells>
  <dataValidations count="2">
    <dataValidation allowBlank="true" errorStyle="stop" operator="between" showDropDown="false" showErrorMessage="false" showInputMessage="false" sqref="C14" type="list">
      <formula1>"Manzanas,Hectáreas,Acres"</formula1>
      <formula2>0</formula2>
    </dataValidation>
    <dataValidation allowBlank="true" errorStyle="stop" operator="between" showDropDown="false" showErrorMessage="false" showInputMessage="false" sqref="E14" type="list">
      <formula1>"Manzanas,Hectáreas,Acres"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8" min="6" style="0" width="12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6"/>
  </cols>
  <sheetData>
    <row r="1" customFormat="false" ht="21.75" hidden="false" customHeight="true" outlineLevel="0" collapsed="false">
      <c r="A1" s="12" t="s">
        <v>71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5" hidden="false" customHeight="true" outlineLevel="0" collapsed="false">
      <c r="A2" s="13" t="s">
        <v>72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30" hidden="false" customHeight="true" outlineLevel="0" collapsed="false">
      <c r="B4" s="17" t="s">
        <v>73</v>
      </c>
      <c r="C4" s="17" t="s">
        <v>74</v>
      </c>
      <c r="D4" s="17" t="s">
        <v>75</v>
      </c>
      <c r="E4" s="17" t="s">
        <v>76</v>
      </c>
      <c r="F4" s="17" t="s">
        <v>77</v>
      </c>
      <c r="G4" s="17" t="s">
        <v>78</v>
      </c>
      <c r="H4" s="17" t="s">
        <v>79</v>
      </c>
      <c r="I4" s="17" t="s">
        <v>80</v>
      </c>
      <c r="J4" s="17" t="s">
        <v>81</v>
      </c>
      <c r="K4" s="17" t="s">
        <v>82</v>
      </c>
      <c r="L4" s="17" t="s">
        <v>83</v>
      </c>
    </row>
    <row r="5" customFormat="false" ht="18" hidden="false" customHeight="true" outlineLevel="0" collapsed="false">
      <c r="B5" s="18" t="n">
        <v>1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8" hidden="false" customHeight="true" outlineLevel="0" collapsed="false">
      <c r="B6" s="18" t="n">
        <v>2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customFormat="false" ht="18" hidden="false" customHeight="true" outlineLevel="0" collapsed="false">
      <c r="B7" s="18" t="n">
        <v>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8" hidden="false" customHeight="true" outlineLevel="0" collapsed="false">
      <c r="B8" s="18" t="n">
        <v>4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customFormat="false" ht="18" hidden="false" customHeight="true" outlineLevel="0" collapsed="false">
      <c r="B9" s="18" t="n">
        <v>5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8" hidden="false" customHeight="true" outlineLevel="0" collapsed="false">
      <c r="B10" s="18" t="n">
        <v>6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8" hidden="false" customHeight="true" outlineLevel="0" collapsed="false">
      <c r="B11" s="18" t="n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8" hidden="false" customHeight="true" outlineLevel="0" collapsed="false">
      <c r="B12" s="18" t="n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8" hidden="false" customHeight="true" outlineLevel="0" collapsed="false">
      <c r="B13" s="18" t="n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8" hidden="false" customHeight="true" outlineLevel="0" collapsed="false">
      <c r="B14" s="18" t="n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8" hidden="false" customHeight="true" outlineLevel="0" collapsed="false">
      <c r="B15" s="18" t="n">
        <v>11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8" hidden="false" customHeight="true" outlineLevel="0" collapsed="false">
      <c r="B16" s="18" t="n">
        <v>12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8" hidden="false" customHeight="true" outlineLevel="0" collapsed="false">
      <c r="B17" s="18" t="n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8" hidden="false" customHeight="true" outlineLevel="0" collapsed="false">
      <c r="B18" s="18" t="n">
        <v>14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8" hidden="false" customHeight="true" outlineLevel="0" collapsed="false">
      <c r="B19" s="18" t="n">
        <v>15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8" hidden="false" customHeight="true" outlineLevel="0" collapsed="false">
      <c r="B20" s="18" t="n">
        <v>16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8" hidden="false" customHeight="true" outlineLevel="0" collapsed="false">
      <c r="B21" s="18" t="n">
        <v>17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8" hidden="false" customHeight="true" outlineLevel="0" collapsed="false">
      <c r="B22" s="18" t="n">
        <v>18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8" hidden="false" customHeight="true" outlineLevel="0" collapsed="false">
      <c r="B23" s="18" t="n">
        <v>19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8" hidden="false" customHeight="true" outlineLevel="0" collapsed="false">
      <c r="B24" s="18" t="n">
        <v>20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6" customFormat="false" ht="15" hidden="false" customHeight="true" outlineLevel="0" collapsed="false">
      <c r="A26" s="19" t="s">
        <v>84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customFormat="false" ht="19.5" hidden="false" customHeight="true" outlineLevel="0" collapsed="false">
      <c r="B27" s="20"/>
      <c r="C27" s="20" t="s">
        <v>85</v>
      </c>
      <c r="D27" s="20"/>
      <c r="E27" s="20"/>
      <c r="F27" s="20" t="n">
        <f aca="false">SUM(F5:F24)</f>
        <v>0</v>
      </c>
      <c r="G27" s="20"/>
      <c r="H27" s="20"/>
      <c r="I27" s="20"/>
      <c r="J27" s="20"/>
      <c r="K27" s="20"/>
      <c r="L27" s="20"/>
    </row>
  </sheetData>
  <mergeCells count="3">
    <mergeCell ref="A1:K1"/>
    <mergeCell ref="A2:K2"/>
    <mergeCell ref="A26:K26"/>
  </mergeCells>
  <dataValidations count="3">
    <dataValidation allowBlank="true" errorStyle="stop" operator="between" showDropDown="false" showErrorMessage="false" showInputMessage="false" sqref="C5:C24" type="list">
      <formula1>"Bovino,Porcino,Avícola"</formula1>
      <formula2>0</formula2>
    </dataValidation>
    <dataValidation allowBlank="true" errorStyle="stop" operator="between" showDropDown="false" showErrorMessage="false" showInputMessage="false" sqref="D5:D24" type="list">
      <formula1>"Lechero,Engorde,Crianza,Doble propósito,Reproductor,Ponedora"</formula1>
      <formula2>0</formula2>
    </dataValidation>
    <dataValidation allowBlank="true" errorStyle="stop" operator="between" showDropDown="false" showErrorMessage="false" showInputMessage="false" sqref="J5:J24" type="list">
      <formula1>"Bueno,Regular,Con tratamiento,Cuarentena"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6"/>
    <col collapsed="false" customWidth="true" hidden="false" outlineLevel="0" max="10" min="6" style="0" width="10"/>
  </cols>
  <sheetData>
    <row r="1" customFormat="false" ht="21.75" hidden="false" customHeight="true" outlineLevel="0" collapsed="false">
      <c r="A1" s="12" t="s">
        <v>86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87</v>
      </c>
      <c r="B2" s="13"/>
      <c r="C2" s="13"/>
      <c r="D2" s="13"/>
      <c r="E2" s="13"/>
      <c r="F2" s="13"/>
      <c r="G2" s="13"/>
      <c r="H2" s="13"/>
      <c r="I2" s="13"/>
    </row>
    <row r="4" customFormat="false" ht="18" hidden="false" customHeight="true" outlineLevel="0" collapsed="false">
      <c r="A4" s="14" t="s">
        <v>88</v>
      </c>
      <c r="B4" s="14"/>
      <c r="C4" s="14"/>
      <c r="D4" s="14"/>
      <c r="E4" s="14"/>
      <c r="F4" s="14"/>
      <c r="G4" s="14"/>
      <c r="H4" s="14"/>
      <c r="I4" s="14"/>
    </row>
    <row r="5" customFormat="false" ht="13.5" hidden="false" customHeight="true" outlineLevel="0" collapsed="false">
      <c r="B5" s="5" t="s">
        <v>89</v>
      </c>
      <c r="C5" s="5" t="s">
        <v>90</v>
      </c>
      <c r="D5" s="5" t="s">
        <v>91</v>
      </c>
      <c r="E5" s="5" t="s">
        <v>92</v>
      </c>
    </row>
    <row r="6" customFormat="false" ht="19.5" hidden="false" customHeight="true" outlineLevel="0" collapsed="false">
      <c r="B6" s="15"/>
      <c r="C6" s="15"/>
      <c r="D6" s="15"/>
      <c r="E6" s="15"/>
    </row>
    <row r="7" customFormat="false" ht="13.5" hidden="false" customHeight="true" outlineLevel="0" collapsed="false">
      <c r="B7" s="5" t="s">
        <v>93</v>
      </c>
      <c r="C7" s="5" t="s">
        <v>94</v>
      </c>
      <c r="D7" s="5" t="s">
        <v>95</v>
      </c>
      <c r="E7" s="5" t="s">
        <v>96</v>
      </c>
    </row>
    <row r="8" customFormat="false" ht="24" hidden="false" customHeight="true" outlineLevel="0" collapsed="false">
      <c r="B8" s="21" t="str">
        <f aca="false">IFERROR(E6/D6,"Ingresar datos")</f>
        <v>Ingresar datos</v>
      </c>
      <c r="C8" s="15"/>
      <c r="D8" s="15"/>
      <c r="E8" s="15"/>
    </row>
    <row r="10" customFormat="false" ht="18" hidden="false" customHeight="true" outlineLevel="0" collapsed="false">
      <c r="A10" s="14" t="s">
        <v>97</v>
      </c>
      <c r="B10" s="14"/>
      <c r="C10" s="14"/>
      <c r="D10" s="14"/>
      <c r="E10" s="14"/>
      <c r="F10" s="14"/>
      <c r="G10" s="14"/>
      <c r="H10" s="14"/>
      <c r="I10" s="14"/>
    </row>
    <row r="11" customFormat="false" ht="13.5" hidden="false" customHeight="true" outlineLevel="0" collapsed="false">
      <c r="B11" s="5" t="s">
        <v>98</v>
      </c>
      <c r="C11" s="5" t="s">
        <v>99</v>
      </c>
      <c r="D11" s="5" t="s">
        <v>100</v>
      </c>
      <c r="E11" s="5" t="s">
        <v>101</v>
      </c>
    </row>
    <row r="12" customFormat="false" ht="19.5" hidden="false" customHeight="true" outlineLevel="0" collapsed="false">
      <c r="B12" s="15"/>
      <c r="C12" s="15"/>
      <c r="D12" s="15"/>
      <c r="E12" s="15"/>
    </row>
    <row r="14" customFormat="false" ht="18" hidden="false" customHeight="true" outlineLevel="0" collapsed="false">
      <c r="A14" s="14" t="s">
        <v>102</v>
      </c>
      <c r="B14" s="14"/>
      <c r="C14" s="14"/>
      <c r="D14" s="14"/>
      <c r="E14" s="14"/>
      <c r="F14" s="14"/>
      <c r="G14" s="14"/>
      <c r="H14" s="14"/>
      <c r="I14" s="14"/>
    </row>
    <row r="15" customFormat="false" ht="13.5" hidden="false" customHeight="true" outlineLevel="0" collapsed="false">
      <c r="B15" s="5" t="s">
        <v>103</v>
      </c>
      <c r="C15" s="5" t="s">
        <v>104</v>
      </c>
      <c r="D15" s="5" t="s">
        <v>105</v>
      </c>
      <c r="E15" s="5" t="s">
        <v>83</v>
      </c>
    </row>
    <row r="16" customFormat="false" ht="19.5" hidden="false" customHeight="true" outlineLevel="0" collapsed="false">
      <c r="B16" s="15"/>
      <c r="C16" s="15"/>
      <c r="D16" s="15"/>
      <c r="E16" s="15"/>
    </row>
    <row r="18" customFormat="false" ht="15" hidden="false" customHeight="true" outlineLevel="0" collapsed="false">
      <c r="A18" s="22" t="s">
        <v>106</v>
      </c>
      <c r="B18" s="22"/>
      <c r="C18" s="22"/>
      <c r="D18" s="22"/>
      <c r="E18" s="22"/>
      <c r="F18" s="22"/>
      <c r="G18" s="22"/>
      <c r="H18" s="22"/>
      <c r="I18" s="22"/>
    </row>
  </sheetData>
  <mergeCells count="6">
    <mergeCell ref="A1:I1"/>
    <mergeCell ref="A2:I2"/>
    <mergeCell ref="A4:I4"/>
    <mergeCell ref="A10:I10"/>
    <mergeCell ref="A14:I14"/>
    <mergeCell ref="A18:I18"/>
  </mergeCells>
  <dataValidations count="8">
    <dataValidation allowBlank="true" errorStyle="stop" operator="between" showDropDown="false" showErrorMessage="false" showInputMessage="false" sqref="C6" type="list">
      <formula1>"Sí,No"</formula1>
      <formula2>0</formula2>
    </dataValidation>
    <dataValidation allowBlank="true" errorStyle="stop" operator="between" showDropDown="false" showErrorMessage="false" showInputMessage="false" sqref="D6" type="list">
      <formula1>"Natural,Mejorado,Mixto,Kikuyo,Estrella,Jaragua,Brachiaria"</formula1>
      <formula2>0</formula2>
    </dataValidation>
    <dataValidation allowBlank="true" errorStyle="stop" operator="between" showDropDown="false" showErrorMessage="false" showInputMessage="false" sqref="D8" type="list">
      <formula1>"Sí,No,Parcial"</formula1>
      <formula2>0</formula2>
    </dataValidation>
    <dataValidation allowBlank="true" errorStyle="stop" operator="between" showDropDown="false" showErrorMessage="false" showInputMessage="false" sqref="C12" type="list">
      <formula1>"Sí,No"</formula1>
      <formula2>0</formula2>
    </dataValidation>
    <dataValidation allowBlank="true" errorStyle="stop" operator="between" showDropDown="false" showErrorMessage="false" showInputMessage="false" sqref="D12" type="list">
      <formula1>"Pozo propio,Río / quebrada,Nacimiento,Agua municipal,Pila / cisterna,Sin fuente fija"</formula1>
      <formula2>0</formula2>
    </dataValidation>
    <dataValidation allowBlank="true" errorStyle="stop" operator="between" showDropDown="false" showErrorMessage="false" showInputMessage="false" sqref="E12" type="list">
      <formula1>"Sí,No,Estacional"</formula1>
      <formula2>0</formula2>
    </dataValidation>
    <dataValidation allowBlank="true" errorStyle="stop" operator="between" showDropDown="false" showErrorMessage="false" showInputMessage="false" sqref="F12" type="list">
      <formula1>"Potable,Tratada,Sin tratar"</formula1>
      <formula2>0</formula2>
    </dataValidation>
    <dataValidation allowBlank="true" errorStyle="stop" operator="between" showDropDown="false" showErrorMessage="false" showInputMessage="false" sqref="C16" type="list">
      <formula1>"Pasto natural,Pasto mejorado,Concentrado,Silo / ensilaje,Mixto"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6"/>
    <col collapsed="false" customWidth="true" hidden="false" outlineLevel="0" max="10" min="6" style="0" width="10"/>
  </cols>
  <sheetData>
    <row r="1" customFormat="false" ht="21.75" hidden="false" customHeight="true" outlineLevel="0" collapsed="false">
      <c r="A1" s="12" t="s">
        <v>107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108</v>
      </c>
      <c r="B2" s="13"/>
      <c r="C2" s="13"/>
      <c r="D2" s="13"/>
      <c r="E2" s="13"/>
      <c r="F2" s="13"/>
      <c r="G2" s="13"/>
      <c r="H2" s="13"/>
      <c r="I2" s="13"/>
    </row>
    <row r="4" customFormat="false" ht="18" hidden="false" customHeight="true" outlineLevel="0" collapsed="false">
      <c r="A4" s="14" t="s">
        <v>109</v>
      </c>
      <c r="B4" s="14"/>
      <c r="C4" s="14"/>
      <c r="D4" s="14"/>
      <c r="E4" s="14"/>
      <c r="F4" s="14"/>
      <c r="G4" s="14"/>
      <c r="H4" s="14"/>
      <c r="I4" s="14"/>
    </row>
    <row r="5" customFormat="false" ht="13.5" hidden="false" customHeight="true" outlineLevel="0" collapsed="false">
      <c r="B5" s="5" t="s">
        <v>110</v>
      </c>
      <c r="C5" s="5" t="s">
        <v>111</v>
      </c>
      <c r="D5" s="5" t="s">
        <v>112</v>
      </c>
      <c r="E5" s="5" t="s">
        <v>113</v>
      </c>
    </row>
    <row r="6" customFormat="false" ht="19.5" hidden="false" customHeight="true" outlineLevel="0" collapsed="false">
      <c r="B6" s="15"/>
      <c r="C6" s="15"/>
      <c r="D6" s="15"/>
      <c r="E6" s="15"/>
    </row>
    <row r="8" customFormat="false" ht="18" hidden="false" customHeight="true" outlineLevel="0" collapsed="false">
      <c r="A8" s="14" t="s">
        <v>114</v>
      </c>
      <c r="B8" s="14"/>
      <c r="C8" s="14"/>
      <c r="D8" s="14"/>
      <c r="E8" s="14"/>
      <c r="F8" s="14"/>
      <c r="G8" s="14"/>
      <c r="H8" s="14"/>
      <c r="I8" s="14"/>
    </row>
    <row r="9" customFormat="false" ht="13.5" hidden="false" customHeight="true" outlineLevel="0" collapsed="false">
      <c r="B9" s="5" t="s">
        <v>115</v>
      </c>
      <c r="D9" s="5" t="s">
        <v>116</v>
      </c>
    </row>
    <row r="10" customFormat="false" ht="19.5" hidden="false" customHeight="true" outlineLevel="0" collapsed="false">
      <c r="B10" s="15"/>
      <c r="D10" s="15"/>
    </row>
    <row r="11" customFormat="false" ht="13.5" hidden="false" customHeight="true" outlineLevel="0" collapsed="false">
      <c r="B11" s="5" t="s">
        <v>117</v>
      </c>
      <c r="D11" s="5" t="s">
        <v>118</v>
      </c>
    </row>
    <row r="12" customFormat="false" ht="19.5" hidden="false" customHeight="true" outlineLevel="0" collapsed="false">
      <c r="B12" s="15"/>
      <c r="D12" s="15"/>
    </row>
    <row r="13" customFormat="false" ht="13.5" hidden="false" customHeight="true" outlineLevel="0" collapsed="false">
      <c r="B13" s="5" t="s">
        <v>119</v>
      </c>
      <c r="D13" s="5" t="s">
        <v>120</v>
      </c>
    </row>
    <row r="14" customFormat="false" ht="19.5" hidden="false" customHeight="true" outlineLevel="0" collapsed="false">
      <c r="B14" s="15"/>
      <c r="D14" s="15"/>
    </row>
    <row r="16" customFormat="false" ht="18" hidden="false" customHeight="true" outlineLevel="0" collapsed="false">
      <c r="A16" s="14" t="s">
        <v>121</v>
      </c>
      <c r="B16" s="14"/>
      <c r="C16" s="14"/>
      <c r="D16" s="14"/>
      <c r="E16" s="14"/>
      <c r="F16" s="14"/>
      <c r="G16" s="14"/>
      <c r="H16" s="14"/>
      <c r="I16" s="14"/>
    </row>
    <row r="17" customFormat="false" ht="13.5" hidden="false" customHeight="true" outlineLevel="0" collapsed="false">
      <c r="B17" s="5" t="s">
        <v>122</v>
      </c>
      <c r="C17" s="5" t="s">
        <v>123</v>
      </c>
      <c r="D17" s="5" t="s">
        <v>124</v>
      </c>
    </row>
    <row r="18" customFormat="false" ht="30" hidden="false" customHeight="true" outlineLevel="0" collapsed="false">
      <c r="B18" s="15"/>
      <c r="C18" s="15"/>
      <c r="D18" s="15"/>
      <c r="E18" s="15"/>
    </row>
  </sheetData>
  <mergeCells count="6">
    <mergeCell ref="A1:I1"/>
    <mergeCell ref="A2:I2"/>
    <mergeCell ref="A4:I4"/>
    <mergeCell ref="A8:I8"/>
    <mergeCell ref="A16:I16"/>
    <mergeCell ref="D18:E18"/>
  </mergeCells>
  <dataValidations count="12">
    <dataValidation allowBlank="true" errorStyle="stop" operator="between" showDropDown="false" showErrorMessage="false" showInputMessage="false" sqref="C6" type="list">
      <formula1>"Tecnificado,Semi-tecnificado,Tradicional / Extensivo,En desarrollo"</formula1>
      <formula2>0</formula2>
    </dataValidation>
    <dataValidation allowBlank="true" errorStyle="stop" operator="between" showDropDown="false" showErrorMessage="false" showInputMessage="false" sqref="D6" type="list">
      <formula1>"Sí,No,Parcial"</formula1>
      <formula2>0</formula2>
    </dataValidation>
    <dataValidation allowBlank="true" errorStyle="stop" operator="between" showDropDown="false" showErrorMessage="false" showInputMessage="false" sqref="E6" type="list">
      <formula1>"Sí,No,Manual"</formula1>
      <formula2>0</formula2>
    </dataValidation>
    <dataValidation allowBlank="true" errorStyle="stop" operator="between" showDropDown="false" showErrorMessage="false" showInputMessage="false" sqref="F6" type="list">
      <formula1>"Sí,No,Parcial"</formula1>
      <formula2>0</formula2>
    </dataValidation>
    <dataValidation allowBlank="true" errorStyle="stop" operator="between" showDropDown="false" showErrorMessage="false" showInputMessage="false" sqref="C10" type="list">
      <formula1>"Sí,No"</formula1>
      <formula2>0</formula2>
    </dataValidation>
    <dataValidation allowBlank="true" errorStyle="stop" operator="between" showDropDown="false" showErrorMessage="false" showInputMessage="false" sqref="E10" type="list">
      <formula1>"Sí,No"</formula1>
      <formula2>0</formula2>
    </dataValidation>
    <dataValidation allowBlank="true" errorStyle="stop" operator="between" showDropDown="false" showErrorMessage="false" showInputMessage="false" sqref="C12" type="list">
      <formula1>"Sí,No"</formula1>
      <formula2>0</formula2>
    </dataValidation>
    <dataValidation allowBlank="true" errorStyle="stop" operator="between" showDropDown="false" showErrorMessage="false" showInputMessage="false" sqref="E12" type="list">
      <formula1>"Sí,No"</formula1>
      <formula2>0</formula2>
    </dataValidation>
    <dataValidation allowBlank="true" errorStyle="stop" operator="between" showDropDown="false" showErrorMessage="false" showInputMessage="false" sqref="C14" type="list">
      <formula1>"Sí,No"</formula1>
      <formula2>0</formula2>
    </dataValidation>
    <dataValidation allowBlank="true" errorStyle="stop" operator="between" showDropDown="false" showErrorMessage="false" showInputMessage="false" sqref="E14" type="list">
      <formula1>"Sí,No"</formula1>
      <formula2>0</formula2>
    </dataValidation>
    <dataValidation allowBlank="true" errorStyle="stop" operator="between" showDropDown="false" showErrorMessage="false" showInputMessage="false" sqref="C18" type="list">
      <formula1>"Fosa séptica,Compostaje,Biodigestor,Laguna de oxidación,Ninguno"</formula1>
      <formula2>0</formula2>
    </dataValidation>
    <dataValidation allowBlank="true" errorStyle="stop" operator="between" showDropDown="false" showErrorMessage="false" showInputMessage="false" sqref="D18" type="list">
      <formula1>"Excelente,Bueno,Regular,Malo"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10" min="8" style="0" width="14"/>
    <col collapsed="false" customWidth="true" hidden="false" outlineLevel="0" max="11" min="11" style="0" width="18"/>
  </cols>
  <sheetData>
    <row r="1" customFormat="false" ht="21.75" hidden="false" customHeight="true" outlineLevel="0" collapsed="false">
      <c r="A1" s="12" t="s">
        <v>125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5" hidden="false" customHeight="true" outlineLevel="0" collapsed="false">
      <c r="A2" s="16" t="s">
        <v>126</v>
      </c>
      <c r="B2" s="16"/>
      <c r="C2" s="16"/>
      <c r="D2" s="16"/>
      <c r="E2" s="16"/>
      <c r="F2" s="16"/>
      <c r="G2" s="16"/>
      <c r="H2" s="16"/>
      <c r="I2" s="16"/>
      <c r="J2" s="16"/>
    </row>
    <row r="4" customFormat="false" ht="30" hidden="false" customHeight="true" outlineLevel="0" collapsed="false">
      <c r="B4" s="23" t="s">
        <v>73</v>
      </c>
      <c r="C4" s="23" t="s">
        <v>127</v>
      </c>
      <c r="D4" s="23" t="s">
        <v>128</v>
      </c>
      <c r="E4" s="23" t="s">
        <v>129</v>
      </c>
      <c r="F4" s="23" t="s">
        <v>130</v>
      </c>
      <c r="G4" s="23" t="s">
        <v>4</v>
      </c>
      <c r="H4" s="23" t="s">
        <v>131</v>
      </c>
      <c r="I4" s="23" t="s">
        <v>132</v>
      </c>
      <c r="J4" s="23" t="s">
        <v>133</v>
      </c>
      <c r="K4" s="23" t="s">
        <v>82</v>
      </c>
    </row>
    <row r="5" customFormat="false" ht="18" hidden="false" customHeight="true" outlineLevel="0" collapsed="false">
      <c r="B5" s="18" t="n">
        <v>1</v>
      </c>
      <c r="C5" s="6"/>
      <c r="D5" s="6"/>
      <c r="E5" s="6"/>
      <c r="F5" s="6"/>
      <c r="G5" s="6"/>
      <c r="H5" s="6"/>
      <c r="I5" s="6"/>
      <c r="J5" s="6"/>
      <c r="K5" s="6"/>
    </row>
    <row r="6" customFormat="false" ht="18" hidden="false" customHeight="true" outlineLevel="0" collapsed="false">
      <c r="B6" s="18" t="n">
        <v>2</v>
      </c>
      <c r="C6" s="9"/>
      <c r="D6" s="9"/>
      <c r="E6" s="9"/>
      <c r="F6" s="9"/>
      <c r="G6" s="9"/>
      <c r="H6" s="9"/>
      <c r="I6" s="9"/>
      <c r="J6" s="9"/>
      <c r="K6" s="9"/>
    </row>
    <row r="7" customFormat="false" ht="18" hidden="false" customHeight="true" outlineLevel="0" collapsed="false">
      <c r="B7" s="18" t="n">
        <v>3</v>
      </c>
      <c r="C7" s="6"/>
      <c r="D7" s="6"/>
      <c r="E7" s="6"/>
      <c r="F7" s="6"/>
      <c r="G7" s="6"/>
      <c r="H7" s="6"/>
      <c r="I7" s="6"/>
      <c r="J7" s="6"/>
      <c r="K7" s="6"/>
    </row>
    <row r="8" customFormat="false" ht="18" hidden="false" customHeight="true" outlineLevel="0" collapsed="false">
      <c r="B8" s="18" t="n">
        <v>4</v>
      </c>
      <c r="C8" s="9"/>
      <c r="D8" s="9"/>
      <c r="E8" s="9"/>
      <c r="F8" s="9"/>
      <c r="G8" s="9"/>
      <c r="H8" s="9"/>
      <c r="I8" s="9"/>
      <c r="J8" s="9"/>
      <c r="K8" s="9"/>
    </row>
    <row r="9" customFormat="false" ht="18" hidden="false" customHeight="true" outlineLevel="0" collapsed="false">
      <c r="B9" s="18" t="n">
        <v>5</v>
      </c>
      <c r="C9" s="6"/>
      <c r="D9" s="6"/>
      <c r="E9" s="6"/>
      <c r="F9" s="6"/>
      <c r="G9" s="6"/>
      <c r="H9" s="6"/>
      <c r="I9" s="6"/>
      <c r="J9" s="6"/>
      <c r="K9" s="6"/>
    </row>
    <row r="10" customFormat="false" ht="18" hidden="false" customHeight="true" outlineLevel="0" collapsed="false">
      <c r="B10" s="18" t="n">
        <v>6</v>
      </c>
      <c r="C10" s="9"/>
      <c r="D10" s="9"/>
      <c r="E10" s="9"/>
      <c r="F10" s="9"/>
      <c r="G10" s="9"/>
      <c r="H10" s="9"/>
      <c r="I10" s="9"/>
      <c r="J10" s="9"/>
      <c r="K10" s="9"/>
    </row>
    <row r="11" customFormat="false" ht="18" hidden="false" customHeight="true" outlineLevel="0" collapsed="false">
      <c r="B11" s="18" t="n">
        <v>7</v>
      </c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8" hidden="false" customHeight="true" outlineLevel="0" collapsed="false">
      <c r="B12" s="18" t="n">
        <v>8</v>
      </c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8" hidden="false" customHeight="true" outlineLevel="0" collapsed="false">
      <c r="B13" s="18" t="n">
        <v>9</v>
      </c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8" hidden="false" customHeight="true" outlineLevel="0" collapsed="false">
      <c r="B14" s="18" t="n">
        <v>10</v>
      </c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8" hidden="false" customHeight="true" outlineLevel="0" collapsed="false">
      <c r="B15" s="18" t="n">
        <v>11</v>
      </c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8" hidden="false" customHeight="true" outlineLevel="0" collapsed="false">
      <c r="B16" s="18" t="n">
        <v>12</v>
      </c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8" hidden="false" customHeight="true" outlineLevel="0" collapsed="false">
      <c r="B17" s="18" t="n">
        <v>13</v>
      </c>
      <c r="C17" s="6"/>
      <c r="D17" s="6"/>
      <c r="E17" s="6"/>
      <c r="F17" s="6"/>
      <c r="G17" s="6"/>
      <c r="H17" s="6"/>
      <c r="I17" s="6"/>
      <c r="J17" s="6"/>
      <c r="K17" s="6"/>
    </row>
    <row r="18" customFormat="false" ht="18" hidden="false" customHeight="true" outlineLevel="0" collapsed="false">
      <c r="B18" s="18" t="n">
        <v>14</v>
      </c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8" hidden="false" customHeight="true" outlineLevel="0" collapsed="false">
      <c r="B19" s="18" t="n">
        <v>15</v>
      </c>
      <c r="C19" s="6"/>
      <c r="D19" s="6"/>
      <c r="E19" s="6"/>
      <c r="F19" s="6"/>
      <c r="G19" s="6"/>
      <c r="H19" s="6"/>
      <c r="I19" s="6"/>
      <c r="J19" s="6"/>
      <c r="K19" s="6"/>
    </row>
    <row r="21" customFormat="false" ht="19.5" hidden="false" customHeight="true" outlineLevel="0" collapsed="false">
      <c r="B21" s="20"/>
      <c r="C21" s="20" t="s">
        <v>85</v>
      </c>
      <c r="D21" s="20"/>
      <c r="E21" s="20"/>
      <c r="F21" s="20"/>
      <c r="G21" s="20"/>
      <c r="H21" s="20" t="n">
        <f aca="false">SUM(H5:H19)</f>
        <v>0</v>
      </c>
      <c r="I21" s="20" t="n">
        <f aca="false">SUM(I5:I19)</f>
        <v>0</v>
      </c>
      <c r="J21" s="20"/>
      <c r="K21" s="20"/>
    </row>
    <row r="22" customFormat="false" ht="15" hidden="false" customHeight="true" outlineLevel="0" collapsed="false">
      <c r="A22" s="16" t="s">
        <v>134</v>
      </c>
      <c r="B22" s="16"/>
      <c r="C22" s="16"/>
      <c r="D22" s="16"/>
      <c r="E22" s="16"/>
      <c r="F22" s="16"/>
      <c r="G22" s="16"/>
      <c r="H22" s="16"/>
      <c r="I22" s="16"/>
      <c r="J22" s="16"/>
    </row>
  </sheetData>
  <mergeCells count="3">
    <mergeCell ref="A1:J1"/>
    <mergeCell ref="A2:J2"/>
    <mergeCell ref="A22:J22"/>
  </mergeCells>
  <dataValidations count="3">
    <dataValidation allowBlank="true" errorStyle="stop" operator="between" showDropDown="false" showErrorMessage="false" showInputMessage="false" sqref="D5:D19" type="list">
      <formula1>"Muerte,Accidente,Enfermedad,Sacrificio forzoso,Fenómeno natural,Robo"</formula1>
      <formula2>0</formula2>
    </dataValidation>
    <dataValidation allowBlank="true" errorStyle="stop" operator="between" showDropDown="false" showErrorMessage="false" showInputMessage="false" sqref="E5:E19" type="list">
      <formula1>"Bovino,Porcino,Avícola"</formula1>
      <formula2>0</formula2>
    </dataValidation>
    <dataValidation allowBlank="true" errorStyle="stop" operator="between" showDropDown="false" showErrorMessage="false" showInputMessage="false" sqref="J5:J19" type="list">
      <formula1>"Abierto,En revisión,Aprobado,Rechazado,Pagado"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8"/>
  </cols>
  <sheetData>
    <row r="1" customFormat="false" ht="21.75" hidden="false" customHeight="true" outlineLevel="0" collapsed="false">
      <c r="A1" s="12" t="s">
        <v>135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136</v>
      </c>
      <c r="B2" s="13"/>
      <c r="C2" s="13"/>
      <c r="D2" s="13"/>
      <c r="E2" s="13"/>
      <c r="F2" s="13"/>
      <c r="G2" s="13"/>
      <c r="H2" s="13"/>
      <c r="I2" s="13"/>
    </row>
    <row r="4" customFormat="false" ht="18" hidden="false" customHeight="true" outlineLevel="0" collapsed="false">
      <c r="A4" s="14" t="s">
        <v>137</v>
      </c>
      <c r="B4" s="14"/>
      <c r="C4" s="14"/>
      <c r="D4" s="14"/>
      <c r="E4" s="14"/>
      <c r="F4" s="14"/>
      <c r="G4" s="14"/>
      <c r="H4" s="14"/>
      <c r="I4" s="14"/>
    </row>
    <row r="5" customFormat="false" ht="25.5" hidden="false" customHeight="true" outlineLevel="0" collapsed="false">
      <c r="B5" s="17" t="s">
        <v>138</v>
      </c>
      <c r="C5" s="17" t="s">
        <v>139</v>
      </c>
      <c r="D5" s="17" t="s">
        <v>140</v>
      </c>
      <c r="E5" s="17" t="s">
        <v>141</v>
      </c>
      <c r="F5" s="17" t="s">
        <v>142</v>
      </c>
      <c r="G5" s="17" t="s">
        <v>143</v>
      </c>
      <c r="H5" s="17" t="s">
        <v>144</v>
      </c>
      <c r="I5" s="17" t="s">
        <v>145</v>
      </c>
      <c r="J5" s="17" t="s">
        <v>5</v>
      </c>
    </row>
    <row r="6" customFormat="false" ht="18" hidden="false" customHeight="true" outlineLevel="0" collapsed="false">
      <c r="B6" s="5" t="s">
        <v>146</v>
      </c>
      <c r="C6" s="5" t="s">
        <v>147</v>
      </c>
      <c r="D6" s="6" t="s">
        <v>148</v>
      </c>
      <c r="E6" s="6"/>
      <c r="F6" s="6"/>
      <c r="G6" s="6"/>
      <c r="H6" s="6"/>
      <c r="I6" s="6"/>
      <c r="J6" s="6"/>
    </row>
    <row r="7" customFormat="false" ht="18" hidden="false" customHeight="true" outlineLevel="0" collapsed="false">
      <c r="B7" s="8" t="s">
        <v>149</v>
      </c>
      <c r="C7" s="8" t="s">
        <v>150</v>
      </c>
      <c r="D7" s="9" t="s">
        <v>151</v>
      </c>
      <c r="E7" s="9"/>
      <c r="F7" s="9"/>
      <c r="G7" s="9"/>
      <c r="H7" s="9"/>
      <c r="I7" s="9"/>
      <c r="J7" s="9"/>
    </row>
    <row r="8" customFormat="false" ht="18" hidden="false" customHeight="true" outlineLevel="0" collapsed="false">
      <c r="B8" s="5" t="s">
        <v>152</v>
      </c>
      <c r="C8" s="5" t="s">
        <v>153</v>
      </c>
      <c r="D8" s="6" t="s">
        <v>151</v>
      </c>
      <c r="E8" s="6"/>
      <c r="F8" s="6"/>
      <c r="G8" s="6"/>
      <c r="H8" s="6"/>
      <c r="I8" s="6"/>
      <c r="J8" s="6"/>
    </row>
    <row r="9" customFormat="false" ht="18" hidden="false" customHeight="true" outlineLevel="0" collapsed="false">
      <c r="B9" s="8" t="s">
        <v>154</v>
      </c>
      <c r="C9" s="8" t="s">
        <v>155</v>
      </c>
      <c r="D9" s="9" t="s">
        <v>151</v>
      </c>
      <c r="E9" s="9"/>
      <c r="F9" s="9"/>
      <c r="G9" s="9"/>
      <c r="H9" s="9"/>
      <c r="I9" s="9"/>
      <c r="J9" s="9"/>
    </row>
    <row r="10" customFormat="false" ht="18" hidden="false" customHeight="true" outlineLevel="0" collapsed="false">
      <c r="B10" s="5" t="s">
        <v>156</v>
      </c>
      <c r="C10" s="5" t="s">
        <v>157</v>
      </c>
      <c r="D10" s="6" t="s">
        <v>158</v>
      </c>
      <c r="E10" s="6"/>
      <c r="F10" s="6"/>
      <c r="G10" s="6"/>
      <c r="H10" s="6"/>
      <c r="I10" s="6"/>
      <c r="J10" s="6"/>
    </row>
    <row r="11" customFormat="false" ht="18" hidden="false" customHeight="true" outlineLevel="0" collapsed="false">
      <c r="B11" s="8" t="s">
        <v>159</v>
      </c>
      <c r="C11" s="8" t="s">
        <v>147</v>
      </c>
      <c r="D11" s="9" t="s">
        <v>148</v>
      </c>
      <c r="E11" s="9"/>
      <c r="F11" s="9"/>
      <c r="G11" s="9"/>
      <c r="H11" s="9"/>
      <c r="I11" s="9"/>
      <c r="J11" s="9"/>
    </row>
    <row r="12" customFormat="false" ht="18" hidden="false" customHeight="true" outlineLevel="0" collapsed="false">
      <c r="B12" s="5" t="s">
        <v>160</v>
      </c>
      <c r="C12" s="5" t="s">
        <v>161</v>
      </c>
      <c r="D12" s="6" t="s">
        <v>162</v>
      </c>
      <c r="E12" s="6"/>
      <c r="F12" s="6"/>
      <c r="G12" s="6"/>
      <c r="H12" s="6"/>
      <c r="I12" s="6"/>
      <c r="J12" s="6"/>
    </row>
    <row r="13" customFormat="false" ht="18" hidden="false" customHeight="true" outlineLevel="0" collapsed="false">
      <c r="B13" s="8" t="s">
        <v>163</v>
      </c>
      <c r="C13" s="8" t="s">
        <v>164</v>
      </c>
      <c r="D13" s="9" t="s">
        <v>165</v>
      </c>
      <c r="E13" s="9"/>
      <c r="F13" s="9"/>
      <c r="G13" s="9"/>
      <c r="H13" s="9"/>
      <c r="I13" s="9"/>
      <c r="J13" s="9"/>
    </row>
    <row r="14" customFormat="false" ht="18" hidden="false" customHeight="true" outlineLevel="0" collapsed="false">
      <c r="B14" s="5" t="s">
        <v>166</v>
      </c>
      <c r="C14" s="5" t="s">
        <v>167</v>
      </c>
      <c r="D14" s="6" t="s">
        <v>168</v>
      </c>
      <c r="E14" s="6"/>
      <c r="F14" s="6"/>
      <c r="G14" s="6"/>
      <c r="H14" s="6"/>
      <c r="I14" s="6"/>
      <c r="J14" s="6"/>
    </row>
    <row r="16" customFormat="false" ht="19.5" hidden="false" customHeight="true" outlineLevel="0" collapsed="false">
      <c r="B16" s="24"/>
      <c r="C16" s="24" t="s">
        <v>169</v>
      </c>
      <c r="D16" s="24"/>
      <c r="E16" s="24"/>
      <c r="F16" s="24"/>
      <c r="G16" s="24"/>
      <c r="H16" s="24" t="n">
        <f aca="false">SUM(H6:H14)</f>
        <v>0</v>
      </c>
      <c r="I16" s="24"/>
      <c r="J16" s="24"/>
    </row>
    <row r="18" customFormat="false" ht="18" hidden="false" customHeight="true" outlineLevel="0" collapsed="false">
      <c r="A18" s="14" t="s">
        <v>170</v>
      </c>
      <c r="B18" s="14"/>
      <c r="C18" s="14"/>
      <c r="D18" s="14"/>
      <c r="E18" s="14"/>
      <c r="F18" s="14"/>
      <c r="G18" s="14"/>
      <c r="H18" s="14"/>
      <c r="I18" s="14"/>
    </row>
    <row r="19" customFormat="false" ht="25.5" hidden="false" customHeight="true" outlineLevel="0" collapsed="false">
      <c r="B19" s="23" t="s">
        <v>138</v>
      </c>
      <c r="C19" s="23" t="s">
        <v>171</v>
      </c>
      <c r="D19" s="23" t="s">
        <v>172</v>
      </c>
      <c r="E19" s="23" t="s">
        <v>141</v>
      </c>
      <c r="F19" s="23" t="s">
        <v>173</v>
      </c>
      <c r="G19" s="23" t="s">
        <v>174</v>
      </c>
      <c r="H19" s="23" t="s">
        <v>144</v>
      </c>
      <c r="I19" s="23" t="s">
        <v>145</v>
      </c>
      <c r="J19" s="23" t="s">
        <v>5</v>
      </c>
    </row>
    <row r="20" customFormat="false" ht="18" hidden="false" customHeight="true" outlineLevel="0" collapsed="false">
      <c r="B20" s="5" t="s">
        <v>175</v>
      </c>
      <c r="C20" s="5" t="s">
        <v>176</v>
      </c>
      <c r="D20" s="6" t="s">
        <v>177</v>
      </c>
      <c r="E20" s="6" t="s">
        <v>178</v>
      </c>
      <c r="F20" s="6"/>
      <c r="G20" s="6"/>
      <c r="H20" s="6"/>
      <c r="I20" s="6"/>
      <c r="J20" s="6"/>
    </row>
    <row r="21" customFormat="false" ht="18" hidden="false" customHeight="true" outlineLevel="0" collapsed="false">
      <c r="B21" s="8" t="s">
        <v>179</v>
      </c>
      <c r="C21" s="8" t="s">
        <v>180</v>
      </c>
      <c r="D21" s="9" t="s">
        <v>181</v>
      </c>
      <c r="E21" s="9"/>
      <c r="F21" s="9"/>
      <c r="G21" s="9"/>
      <c r="H21" s="9"/>
      <c r="I21" s="9"/>
      <c r="J21" s="9"/>
    </row>
    <row r="22" customFormat="false" ht="18" hidden="false" customHeight="true" outlineLevel="0" collapsed="false">
      <c r="B22" s="5" t="s">
        <v>182</v>
      </c>
      <c r="C22" s="5" t="s">
        <v>183</v>
      </c>
      <c r="D22" s="6" t="s">
        <v>184</v>
      </c>
      <c r="E22" s="6"/>
      <c r="F22" s="6"/>
      <c r="G22" s="6"/>
      <c r="H22" s="6"/>
      <c r="I22" s="6"/>
      <c r="J22" s="6"/>
    </row>
    <row r="23" customFormat="false" ht="18" hidden="false" customHeight="true" outlineLevel="0" collapsed="false">
      <c r="B23" s="8" t="s">
        <v>185</v>
      </c>
      <c r="C23" s="8" t="s">
        <v>186</v>
      </c>
      <c r="D23" s="9" t="s">
        <v>187</v>
      </c>
      <c r="E23" s="9"/>
      <c r="F23" s="9"/>
      <c r="G23" s="9"/>
      <c r="H23" s="9"/>
      <c r="I23" s="9"/>
      <c r="J23" s="9"/>
    </row>
    <row r="24" customFormat="false" ht="18" hidden="false" customHeight="true" outlineLevel="0" collapsed="false">
      <c r="B24" s="5" t="s">
        <v>188</v>
      </c>
      <c r="C24" s="5" t="s">
        <v>189</v>
      </c>
      <c r="D24" s="6" t="s">
        <v>190</v>
      </c>
      <c r="E24" s="6"/>
      <c r="F24" s="6"/>
      <c r="G24" s="6"/>
      <c r="H24" s="6"/>
      <c r="I24" s="6"/>
      <c r="J24" s="6"/>
    </row>
    <row r="25" customFormat="false" ht="18" hidden="false" customHeight="true" outlineLevel="0" collapsed="false">
      <c r="B25" s="8" t="s">
        <v>191</v>
      </c>
      <c r="C25" s="8" t="s">
        <v>192</v>
      </c>
      <c r="D25" s="9" t="s">
        <v>193</v>
      </c>
      <c r="E25" s="9"/>
      <c r="F25" s="9"/>
      <c r="G25" s="9"/>
      <c r="H25" s="9"/>
      <c r="I25" s="9"/>
      <c r="J25" s="9"/>
    </row>
    <row r="27" customFormat="false" ht="19.5" hidden="false" customHeight="true" outlineLevel="0" collapsed="false">
      <c r="B27" s="25"/>
      <c r="C27" s="25" t="s">
        <v>194</v>
      </c>
      <c r="D27" s="25"/>
      <c r="E27" s="25"/>
      <c r="F27" s="25"/>
      <c r="G27" s="25"/>
      <c r="H27" s="25" t="n">
        <f aca="false">SUM(H20:H25)</f>
        <v>0</v>
      </c>
      <c r="I27" s="25"/>
      <c r="J27" s="25"/>
    </row>
    <row r="29" customFormat="false" ht="15" hidden="false" customHeight="true" outlineLevel="0" collapsed="false">
      <c r="A29" s="22" t="s">
        <v>195</v>
      </c>
      <c r="B29" s="22"/>
      <c r="C29" s="22"/>
      <c r="D29" s="22"/>
      <c r="E29" s="22"/>
      <c r="F29" s="22"/>
      <c r="G29" s="22"/>
      <c r="H29" s="22"/>
      <c r="I29" s="22"/>
    </row>
  </sheetData>
  <mergeCells count="5">
    <mergeCell ref="A1:I1"/>
    <mergeCell ref="A2:I2"/>
    <mergeCell ref="A4:I4"/>
    <mergeCell ref="A18:I18"/>
    <mergeCell ref="A29:I29"/>
  </mergeCells>
  <dataValidations count="1">
    <dataValidation allowBlank="true" errorStyle="stop" operator="between" showDropDown="false" showErrorMessage="false" showInputMessage="false" sqref="J6:J14 J20:J25" type="list">
      <formula1>"Programado,Ejecutado,Pendiente,Omitido"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8"/>
  </cols>
  <sheetData>
    <row r="1" customFormat="false" ht="21.75" hidden="false" customHeight="true" outlineLevel="0" collapsed="false">
      <c r="A1" s="12" t="s">
        <v>196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13" t="s">
        <v>197</v>
      </c>
      <c r="B2" s="13"/>
      <c r="C2" s="13"/>
      <c r="D2" s="13"/>
      <c r="E2" s="13"/>
      <c r="F2" s="13"/>
      <c r="G2" s="13"/>
      <c r="H2" s="13"/>
      <c r="I2" s="13"/>
    </row>
    <row r="4" customFormat="false" ht="18" hidden="false" customHeight="true" outlineLevel="0" collapsed="false">
      <c r="A4" s="14" t="s">
        <v>198</v>
      </c>
      <c r="B4" s="14"/>
      <c r="C4" s="14"/>
      <c r="D4" s="14"/>
      <c r="E4" s="14"/>
      <c r="F4" s="14"/>
      <c r="G4" s="14"/>
      <c r="H4" s="14"/>
      <c r="I4" s="14"/>
    </row>
    <row r="5" customFormat="false" ht="25.5" hidden="false" customHeight="true" outlineLevel="0" collapsed="false">
      <c r="B5" s="17" t="s">
        <v>199</v>
      </c>
      <c r="C5" s="17" t="s">
        <v>200</v>
      </c>
      <c r="D5" s="17" t="s">
        <v>201</v>
      </c>
      <c r="E5" s="17" t="s">
        <v>202</v>
      </c>
      <c r="F5" s="17" t="s">
        <v>203</v>
      </c>
      <c r="G5" s="17" t="s">
        <v>204</v>
      </c>
      <c r="H5" s="17" t="s">
        <v>205</v>
      </c>
      <c r="I5" s="17" t="s">
        <v>206</v>
      </c>
      <c r="J5" s="17" t="s">
        <v>207</v>
      </c>
    </row>
    <row r="6" customFormat="false" ht="19.5" hidden="false" customHeight="true" outlineLevel="0" collapsed="false">
      <c r="B6" s="5" t="s">
        <v>208</v>
      </c>
      <c r="C6" s="26" t="n">
        <f aca="false">'M3 — Hato'!F27</f>
        <v>0</v>
      </c>
      <c r="D6" s="26" t="s">
        <v>209</v>
      </c>
      <c r="E6" s="26" t="s">
        <v>210</v>
      </c>
      <c r="F6" s="26" t="s">
        <v>210</v>
      </c>
      <c r="G6" s="26" t="s">
        <v>210</v>
      </c>
      <c r="H6" s="26"/>
      <c r="I6" s="26" t="s">
        <v>11</v>
      </c>
    </row>
    <row r="7" customFormat="false" ht="19.5" hidden="false" customHeight="true" outlineLevel="0" collapsed="false">
      <c r="B7" s="8" t="s">
        <v>211</v>
      </c>
      <c r="C7" s="27" t="n">
        <f aca="false">'M4 — Condiciones'!C8</f>
        <v>0</v>
      </c>
      <c r="D7" s="27" t="s">
        <v>212</v>
      </c>
      <c r="E7" s="27" t="s">
        <v>213</v>
      </c>
      <c r="F7" s="27" t="s">
        <v>214</v>
      </c>
      <c r="G7" s="27" t="s">
        <v>215</v>
      </c>
      <c r="H7" s="27" t="n">
        <f aca="false">IFERROR(C7/F7,"")</f>
        <v>0</v>
      </c>
      <c r="I7" s="27" t="s">
        <v>13</v>
      </c>
    </row>
    <row r="8" customFormat="false" ht="19.5" hidden="false" customHeight="true" outlineLevel="0" collapsed="false">
      <c r="B8" s="5" t="s">
        <v>216</v>
      </c>
      <c r="C8" s="26"/>
      <c r="D8" s="26" t="s">
        <v>217</v>
      </c>
      <c r="E8" s="26" t="s">
        <v>218</v>
      </c>
      <c r="F8" s="26" t="s">
        <v>219</v>
      </c>
      <c r="G8" s="26" t="s">
        <v>220</v>
      </c>
      <c r="H8" s="26" t="n">
        <f aca="false">IFERROR(C8/F8,"")</f>
        <v>0</v>
      </c>
      <c r="I8" s="26" t="s">
        <v>221</v>
      </c>
    </row>
    <row r="9" customFormat="false" ht="19.5" hidden="false" customHeight="true" outlineLevel="0" collapsed="false">
      <c r="B9" s="8" t="s">
        <v>222</v>
      </c>
      <c r="C9" s="27"/>
      <c r="D9" s="27" t="s">
        <v>217</v>
      </c>
      <c r="E9" s="27" t="s">
        <v>223</v>
      </c>
      <c r="F9" s="27" t="s">
        <v>224</v>
      </c>
      <c r="G9" s="27" t="s">
        <v>225</v>
      </c>
      <c r="H9" s="27"/>
      <c r="I9" s="27" t="s">
        <v>17</v>
      </c>
    </row>
    <row r="10" customFormat="false" ht="19.5" hidden="false" customHeight="true" outlineLevel="0" collapsed="false">
      <c r="B10" s="5" t="s">
        <v>226</v>
      </c>
      <c r="C10" s="26"/>
      <c r="D10" s="26" t="s">
        <v>227</v>
      </c>
      <c r="E10" s="26" t="s">
        <v>228</v>
      </c>
      <c r="F10" s="26" t="s">
        <v>229</v>
      </c>
      <c r="G10" s="26" t="s">
        <v>230</v>
      </c>
      <c r="H10" s="26"/>
      <c r="I10" s="26" t="s">
        <v>221</v>
      </c>
    </row>
    <row r="11" customFormat="false" ht="19.5" hidden="false" customHeight="true" outlineLevel="0" collapsed="false">
      <c r="B11" s="8" t="s">
        <v>231</v>
      </c>
      <c r="C11" s="27"/>
      <c r="D11" s="27" t="s">
        <v>232</v>
      </c>
      <c r="E11" s="27" t="s">
        <v>233</v>
      </c>
      <c r="F11" s="27" t="s">
        <v>234</v>
      </c>
      <c r="G11" s="27" t="s">
        <v>235</v>
      </c>
      <c r="H11" s="27"/>
      <c r="I11" s="27" t="s">
        <v>221</v>
      </c>
    </row>
    <row r="12" customFormat="false" ht="19.5" hidden="false" customHeight="true" outlineLevel="0" collapsed="false">
      <c r="B12" s="5" t="s">
        <v>236</v>
      </c>
      <c r="C12" s="26" t="n">
        <f aca="false">'M7 — Profilaxis'!H16</f>
        <v>0</v>
      </c>
      <c r="D12" s="26" t="s">
        <v>237</v>
      </c>
      <c r="E12" s="26" t="s">
        <v>210</v>
      </c>
      <c r="F12" s="26" t="s">
        <v>210</v>
      </c>
      <c r="G12" s="26" t="s">
        <v>210</v>
      </c>
      <c r="H12" s="26"/>
      <c r="I12" s="26" t="s">
        <v>19</v>
      </c>
    </row>
    <row r="13" customFormat="false" ht="19.5" hidden="false" customHeight="true" outlineLevel="0" collapsed="false">
      <c r="B13" s="8" t="s">
        <v>238</v>
      </c>
      <c r="C13" s="27"/>
      <c r="D13" s="27" t="s">
        <v>239</v>
      </c>
      <c r="E13" s="27" t="s">
        <v>210</v>
      </c>
      <c r="F13" s="27" t="s">
        <v>210</v>
      </c>
      <c r="G13" s="27" t="s">
        <v>210</v>
      </c>
      <c r="H13" s="27"/>
      <c r="I13" s="27" t="s">
        <v>221</v>
      </c>
    </row>
    <row r="14" customFormat="false" ht="15" hidden="false" customHeight="true" outlineLevel="0" collapsed="false">
      <c r="A14" s="19" t="s">
        <v>240</v>
      </c>
      <c r="B14" s="19"/>
      <c r="C14" s="19"/>
      <c r="D14" s="19"/>
      <c r="E14" s="19"/>
      <c r="F14" s="19"/>
      <c r="G14" s="19"/>
      <c r="H14" s="19"/>
      <c r="I14" s="19"/>
    </row>
    <row r="16" customFormat="false" ht="18" hidden="false" customHeight="true" outlineLevel="0" collapsed="false">
      <c r="A16" s="14" t="s">
        <v>241</v>
      </c>
      <c r="B16" s="14"/>
      <c r="C16" s="14"/>
      <c r="D16" s="14"/>
      <c r="E16" s="14"/>
      <c r="F16" s="14"/>
      <c r="G16" s="14"/>
      <c r="H16" s="14"/>
      <c r="I16" s="14"/>
    </row>
    <row r="17" customFormat="false" ht="21.75" hidden="false" customHeight="true" outlineLevel="0" collapsed="false">
      <c r="B17" s="23" t="s">
        <v>242</v>
      </c>
      <c r="C17" s="23" t="s">
        <v>243</v>
      </c>
      <c r="D17" s="23" t="s">
        <v>200</v>
      </c>
      <c r="E17" s="23" t="s">
        <v>244</v>
      </c>
      <c r="F17" s="23" t="s">
        <v>245</v>
      </c>
      <c r="G17" s="23" t="s">
        <v>246</v>
      </c>
    </row>
    <row r="18" customFormat="false" ht="21.75" hidden="false" customHeight="true" outlineLevel="0" collapsed="false">
      <c r="B18" s="28" t="s">
        <v>247</v>
      </c>
      <c r="C18" s="29" t="s">
        <v>248</v>
      </c>
      <c r="D18" s="29" t="n">
        <f aca="false">'M8 — Panel KPIs'!C8</f>
        <v>0</v>
      </c>
      <c r="E18" s="29" t="s">
        <v>249</v>
      </c>
      <c r="F18" s="29" t="str">
        <f aca="false">IFERROR(C18/D18,"Ingresar dato")</f>
        <v>Ingresar dato</v>
      </c>
      <c r="G18" s="29"/>
    </row>
    <row r="19" customFormat="false" ht="21.75" hidden="false" customHeight="true" outlineLevel="0" collapsed="false">
      <c r="B19" s="30" t="s">
        <v>250</v>
      </c>
      <c r="C19" s="31" t="s">
        <v>251</v>
      </c>
      <c r="D19" s="31" t="n">
        <f aca="false">'M8 — Panel KPIs'!C11</f>
        <v>0</v>
      </c>
      <c r="E19" s="31" t="s">
        <v>235</v>
      </c>
      <c r="F19" s="31" t="str">
        <f aca="false">IFERROR(C19/D19,"Ingresar dato")</f>
        <v>Ingresar dato</v>
      </c>
      <c r="G19" s="31"/>
    </row>
    <row r="20" customFormat="false" ht="21.75" hidden="false" customHeight="true" outlineLevel="0" collapsed="false">
      <c r="B20" s="32" t="s">
        <v>252</v>
      </c>
      <c r="C20" s="33" t="s">
        <v>253</v>
      </c>
      <c r="D20" s="33" t="n">
        <f aca="false">'M8 — Panel KPIs'!C7</f>
        <v>0</v>
      </c>
      <c r="E20" s="33" t="s">
        <v>215</v>
      </c>
      <c r="F20" s="33" t="str">
        <f aca="false">IFERROR(C20/D20,"Ingresar dato")</f>
        <v>Ingresar dato</v>
      </c>
      <c r="G20" s="33"/>
    </row>
    <row r="22" customFormat="false" ht="18" hidden="false" customHeight="true" outlineLevel="0" collapsed="false">
      <c r="A22" s="14" t="s">
        <v>254</v>
      </c>
      <c r="B22" s="14"/>
      <c r="C22" s="14"/>
      <c r="D22" s="14"/>
      <c r="E22" s="14"/>
      <c r="F22" s="14"/>
      <c r="G22" s="14"/>
      <c r="H22" s="14"/>
      <c r="I22" s="14"/>
    </row>
    <row r="23" customFormat="false" ht="13.5" hidden="false" customHeight="true" outlineLevel="0" collapsed="false">
      <c r="B23" s="5" t="s">
        <v>255</v>
      </c>
      <c r="D23" s="5" t="s">
        <v>256</v>
      </c>
      <c r="F23" s="5" t="s">
        <v>257</v>
      </c>
    </row>
    <row r="24" customFormat="false" ht="31.5" hidden="false" customHeight="true" outlineLevel="0" collapsed="false">
      <c r="B24" s="34" t="n">
        <f aca="false">IFERROR(C6*500*3.5,"Ingresar datos")</f>
        <v>0</v>
      </c>
      <c r="C24" s="34"/>
      <c r="D24" s="15" t="s">
        <v>258</v>
      </c>
      <c r="E24" s="15"/>
      <c r="F24" s="15" t="s">
        <v>259</v>
      </c>
    </row>
    <row r="26" customFormat="false" ht="15" hidden="false" customHeight="true" outlineLevel="0" collapsed="false">
      <c r="A26" s="19" t="s">
        <v>260</v>
      </c>
      <c r="B26" s="19"/>
      <c r="C26" s="19"/>
      <c r="D26" s="19"/>
      <c r="E26" s="19"/>
      <c r="F26" s="19"/>
      <c r="G26" s="19"/>
      <c r="H26" s="19"/>
      <c r="I26" s="19"/>
    </row>
  </sheetData>
  <mergeCells count="9">
    <mergeCell ref="A1:I1"/>
    <mergeCell ref="A2:I2"/>
    <mergeCell ref="A4:I4"/>
    <mergeCell ref="A14:I14"/>
    <mergeCell ref="A16:I16"/>
    <mergeCell ref="A22:I22"/>
    <mergeCell ref="B24:C24"/>
    <mergeCell ref="D24:E24"/>
    <mergeCell ref="A26:I26"/>
  </mergeCells>
  <dataValidations count="1">
    <dataValidation allowBlank="true" errorStyle="stop" operator="between" showDropDown="false" showErrorMessage="false" showInputMessage="false" sqref="G24" type="list">
      <formula1>"En proceso,Completo,En revisión,Aprobado"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2026-05-20T20:37:26Z</dcterms:created>
  <dc:creator>openpyxl</dc:creator>
  <dc:description/>
  <dc:language>en-US</dc:language>
  <cp:lastModifiedBy/>
  <dcterms:modified xsi:type="dcterms:W3CDTF">2026-05-20T20:37:27Z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